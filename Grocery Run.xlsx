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https://d.docs.live.net/1C73416E9B261B02/Desktop/KL338_Di/"/>
    </mc:Choice>
  </mc:AlternateContent>
  <xr:revisionPtr revIDLastSave="456" documentId="13_ncr:1_{6DA3EEC6-822C-4826-B779-84480E6DF73C}" xr6:coauthVersionLast="47" xr6:coauthVersionMax="47" xr10:uidLastSave="{C38522EE-87C8-4F54-906D-B6343CBA2786}"/>
  <bookViews>
    <workbookView xWindow="-108" yWindow="-108" windowWidth="23256" windowHeight="13896" activeTab="2" xr2:uid="{44EDED48-5A2F-45FE-8652-F8D1AEA532AD}"/>
  </bookViews>
  <sheets>
    <sheet name="Main Sheet" sheetId="1" r:id="rId1"/>
    <sheet name="Sheet2" sheetId="2" r:id="rId2"/>
    <sheet name="Analysis" sheetId="5" r:id="rId3"/>
  </sheets>
  <definedNames>
    <definedName name="_xlnm._FilterDatabase" localSheetId="0" hidden="1">'Main Sheet'!$A$1:$M$23</definedName>
    <definedName name="Slicer_Category">#N/A</definedName>
    <definedName name="Slicer_Item_Name">#N/A</definedName>
  </definedNames>
  <calcPr calcId="191029"/>
  <pivotCaches>
    <pivotCache cacheId="0" r:id="rId4"/>
    <pivotCache cacheId="4"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 i="1" l="1"/>
  <c r="J23" i="1"/>
  <c r="J22" i="1"/>
</calcChain>
</file>

<file path=xl/sharedStrings.xml><?xml version="1.0" encoding="utf-8"?>
<sst xmlns="http://schemas.openxmlformats.org/spreadsheetml/2006/main" count="194" uniqueCount="69">
  <si>
    <t>Row Labels</t>
  </si>
  <si>
    <t>Grand Total</t>
  </si>
  <si>
    <t>Date</t>
  </si>
  <si>
    <t>Item Name</t>
  </si>
  <si>
    <t>Category</t>
  </si>
  <si>
    <t>Type</t>
  </si>
  <si>
    <t>Qty</t>
  </si>
  <si>
    <t>Grains</t>
  </si>
  <si>
    <t>Snacks</t>
  </si>
  <si>
    <t>Impulsive</t>
  </si>
  <si>
    <t>Dairy</t>
  </si>
  <si>
    <t>Pulses</t>
  </si>
  <si>
    <t>Protein</t>
  </si>
  <si>
    <t>Produce</t>
  </si>
  <si>
    <t>Fruits</t>
  </si>
  <si>
    <t>Fabric Softener</t>
  </si>
  <si>
    <t>Household</t>
  </si>
  <si>
    <t>Dishwash Bar</t>
  </si>
  <si>
    <t>Staples</t>
  </si>
  <si>
    <t>Beverages</t>
  </si>
  <si>
    <t>Frozen Pizza</t>
  </si>
  <si>
    <t>Frozen</t>
  </si>
  <si>
    <t>Price (₹)</t>
  </si>
  <si>
    <t>Rating</t>
  </si>
  <si>
    <t>Potato Chips</t>
  </si>
  <si>
    <t>Dark Chocolate</t>
  </si>
  <si>
    <t>Instant Coffee</t>
  </si>
  <si>
    <t>Scented Spray</t>
  </si>
  <si>
    <t>Credit Card</t>
  </si>
  <si>
    <t>Cash</t>
  </si>
  <si>
    <t>UPI</t>
  </si>
  <si>
    <t>UOM</t>
  </si>
  <si>
    <t>L</t>
  </si>
  <si>
    <t>kg</t>
  </si>
  <si>
    <t>Strawberries</t>
  </si>
  <si>
    <t>pkt</t>
  </si>
  <si>
    <t>Payment</t>
  </si>
  <si>
    <t>Basmati Rice</t>
  </si>
  <si>
    <t>Milk</t>
  </si>
  <si>
    <t>Moong Dal</t>
  </si>
  <si>
    <t>bar</t>
  </si>
  <si>
    <t>Eggs</t>
  </si>
  <si>
    <t>pcs</t>
  </si>
  <si>
    <t>Onion</t>
  </si>
  <si>
    <t>box</t>
  </si>
  <si>
    <t>Chakki Atta</t>
  </si>
  <si>
    <t>Chicken</t>
  </si>
  <si>
    <t>Sugar</t>
  </si>
  <si>
    <t>jar</t>
  </si>
  <si>
    <t>Paneer</t>
  </si>
  <si>
    <t>Cold Drink</t>
  </si>
  <si>
    <t>Gala Apples</t>
  </si>
  <si>
    <t>can</t>
  </si>
  <si>
    <t>Iodized Salt</t>
  </si>
  <si>
    <t>Purchase Mode</t>
  </si>
  <si>
    <t>Essential</t>
  </si>
  <si>
    <t>In-Store</t>
  </si>
  <si>
    <t>Online</t>
  </si>
  <si>
    <t>Online Disc. (₹)</t>
  </si>
  <si>
    <t>CC Disc. (₹)</t>
  </si>
  <si>
    <t>Final Total (₹)</t>
  </si>
  <si>
    <t>average expense</t>
  </si>
  <si>
    <t>total  expense</t>
  </si>
  <si>
    <t>Count of Purchase Mode</t>
  </si>
  <si>
    <t>Count of Payment</t>
  </si>
  <si>
    <t>Sum of Rating</t>
  </si>
  <si>
    <t>Count of Category</t>
  </si>
  <si>
    <t>Count of Item Name</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</si>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</sst>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4009]\ * #,##0.00_ ;_ [$₹-4009]\ * \-#,##0.00_ ;_ [$₹-4009]\ * &quot;-&quot;??_ ;_ @_ "/>
    <numFmt numFmtId="165" formatCode="_ [$₹-4009]\ * #,##0_ ;_ [$₹-4009]\ * \-#,##0_ ;_ [$₹-4009]\ * &quot;-&quot;??_ ;_ @_ "/>
  </numFmts>
  <fonts count="5" x14ac:knownFonts="1">
    <font>
      <sz val="11"/>
      <color theme="1"/>
      <name val="Aptos Narrow"/>
      <family val="2"/>
      <scheme val="minor"/>
    </font>
    <font>
      <sz val="11"/>
      <color theme="1"/>
      <name val="Aptos Narrow"/>
      <family val="2"/>
      <scheme val="minor"/>
    </font>
    <font>
      <sz val="8"/>
      <name val="Aptos Narrow"/>
      <family val="2"/>
      <scheme val="minor"/>
    </font>
    <font>
      <b/>
      <sz val="11"/>
      <color theme="1"/>
      <name val="Aptos Narrow"/>
      <family val="2"/>
      <scheme val="minor"/>
    </font>
    <font>
      <b/>
      <sz val="12"/>
      <color theme="1"/>
      <name val="Aptos Narrow"/>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164" fontId="0" fillId="0" borderId="0" xfId="0" applyNumberFormat="1"/>
    <xf numFmtId="9" fontId="0" fillId="0" borderId="0" xfId="1" applyFont="1"/>
    <xf numFmtId="0" fontId="0" fillId="0" borderId="0" xfId="0" pivotButton="1"/>
    <xf numFmtId="0" fontId="0" fillId="0" borderId="0" xfId="0" applyAlignment="1">
      <alignment horizontal="left"/>
    </xf>
    <xf numFmtId="165" fontId="0" fillId="0" borderId="0" xfId="0" applyNumberFormat="1"/>
    <xf numFmtId="0" fontId="0" fillId="0" borderId="1" xfId="0" applyBorder="1"/>
    <xf numFmtId="14" fontId="0" fillId="0" borderId="1" xfId="0" applyNumberFormat="1" applyBorder="1"/>
    <xf numFmtId="165" fontId="0" fillId="0" borderId="1" xfId="0" applyNumberFormat="1" applyBorder="1"/>
    <xf numFmtId="0" fontId="0" fillId="0" borderId="0" xfId="0" applyNumberFormat="1"/>
    <xf numFmtId="0" fontId="3" fillId="0" borderId="2" xfId="0" applyFont="1" applyBorder="1"/>
    <xf numFmtId="0" fontId="4" fillId="0" borderId="2" xfId="0" applyFont="1" applyBorder="1"/>
  </cellXfs>
  <cellStyles count="2">
    <cellStyle name="Normal" xfId="0" builtinId="0"/>
    <cellStyle name="Percent" xfId="1" builtinId="5"/>
  </cellStyles>
  <dxfs count="23">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strike val="0"/>
        <condense val="0"/>
        <extend val="0"/>
        <outline val="0"/>
        <shadow val="0"/>
        <u val="none"/>
        <vertAlign val="baseline"/>
        <sz val="12"/>
        <color theme="1"/>
        <name val="Aptos Narrow"/>
        <family val="2"/>
        <scheme val="minor"/>
      </font>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5" formatCode="_ [$₹-4009]\ * #,##0_ ;_ [$₹-4009]\ * \-#,##0_ ;_ [$₹-4009]\ * &quot;-&quot;??_ ;_ @_ "/>
      <border diagonalUp="0" diagonalDown="0">
        <left style="thin">
          <color indexed="64"/>
        </left>
        <right style="thin">
          <color indexed="64"/>
        </right>
        <top style="thin">
          <color indexed="64"/>
        </top>
        <bottom style="thin">
          <color indexed="64"/>
        </bottom>
        <vertical/>
        <horizontal/>
      </border>
    </dxf>
    <dxf>
      <numFmt numFmtId="165" formatCode="_ [$₹-4009]\ * #,##0_ ;_ [$₹-4009]\ * \-#,##0_ ;_ [$₹-4009]\ * &quot;-&quot;??_ ;_ @_ "/>
      <border diagonalUp="0" diagonalDown="0">
        <left style="thin">
          <color indexed="64"/>
        </left>
        <right style="thin">
          <color indexed="64"/>
        </right>
        <top style="thin">
          <color indexed="64"/>
        </top>
        <bottom style="thin">
          <color indexed="64"/>
        </bottom>
        <vertical/>
        <horizontal/>
      </border>
    </dxf>
    <dxf>
      <numFmt numFmtId="165" formatCode="_ [$₹-4009]\ * #,##0_ ;_ [$₹-4009]\ * \-#,##0_ ;_ [$₹-4009]\ * &quot;-&quot;??_ ;_ @_ "/>
      <border diagonalUp="0" diagonalDown="0">
        <left style="thin">
          <color indexed="64"/>
        </left>
        <right style="thin">
          <color indexed="64"/>
        </right>
        <top style="thin">
          <color indexed="64"/>
        </top>
        <bottom style="thin">
          <color indexed="64"/>
        </bottom>
        <vertical/>
        <horizontal/>
      </border>
    </dxf>
    <dxf>
      <numFmt numFmtId="165" formatCode="_ [$₹-4009]\ * #,##0_ ;_ [$₹-4009]\ * \-#,##0_ ;_ [$₹-4009]\ * &quot;-&quot;??_ ;_ @_ "/>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border outline="0">
        <top style="thin">
          <color indexed="64"/>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7/10/relationships/person" Target="persons/person.xml"/><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Run.xlsx]Sheet2!PivotTable7</c:name>
    <c:fmtId val="12"/>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Impulsive</a:t>
            </a:r>
            <a:r>
              <a:rPr lang="en-IN" baseline="0"/>
              <a:t> Buying Vs Essential Buying</a:t>
            </a:r>
            <a:endParaRPr lang="en-IN"/>
          </a:p>
        </c:rich>
      </c:tx>
      <c:layout>
        <c:manualLayout>
          <c:xMode val="edge"/>
          <c:yMode val="edge"/>
          <c:x val="0.31693887845037061"/>
          <c:y val="0"/>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5"/>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6"/>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7"/>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8"/>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9"/>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2"/>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3348619111742701E-2"/>
          <c:y val="0.15390581448895999"/>
          <c:w val="0.84793817447701525"/>
          <c:h val="0.81242789451998354"/>
        </c:manualLayout>
      </c:layout>
      <c:pie3DChart>
        <c:varyColors val="1"/>
        <c:ser>
          <c:idx val="0"/>
          <c:order val="0"/>
          <c:tx>
            <c:strRef>
              <c:f>Sheet2!$B$2</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9387-4681-8A3C-E1BFA4E1D21F}"/>
              </c:ext>
            </c:extLst>
          </c:dPt>
          <c:dPt>
            <c:idx val="1"/>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9387-4681-8A3C-E1BFA4E1D21F}"/>
              </c:ext>
            </c:extLst>
          </c:dPt>
          <c:dLbls>
            <c:dLbl>
              <c:idx val="0"/>
              <c:dLblPos val="outEnd"/>
              <c:showLegendKey val="0"/>
              <c:showVal val="0"/>
              <c:showCatName val="1"/>
              <c:showSerName val="0"/>
              <c:showPercent val="1"/>
              <c:showBubbleSize val="0"/>
              <c:extLst>
                <c:ext xmlns:c15="http://schemas.microsoft.com/office/drawing/2012/chart" uri="{CE6537A1-D6FC-4f65-9D91-7224C49458BB}">
                  <c15:xForSave val="1"/>
                </c:ext>
                <c:ext xmlns:c16="http://schemas.microsoft.com/office/drawing/2014/chart" uri="{C3380CC4-5D6E-409C-BE32-E72D297353CC}">
                  <c16:uniqueId val="{00000001-9387-4681-8A3C-E1BFA4E1D21F}"/>
                </c:ext>
              </c:extLst>
            </c:dLbl>
            <c:dLbl>
              <c:idx val="1"/>
              <c:dLblPos val="outEnd"/>
              <c:showLegendKey val="0"/>
              <c:showVal val="0"/>
              <c:showCatName val="1"/>
              <c:showSerName val="0"/>
              <c:showPercent val="1"/>
              <c:showBubbleSize val="0"/>
              <c:extLst>
                <c:ext xmlns:c15="http://schemas.microsoft.com/office/drawing/2012/chart" uri="{CE6537A1-D6FC-4f65-9D91-7224C49458BB}">
                  <c15:xForSave val="1"/>
                </c:ext>
                <c:ext xmlns:c16="http://schemas.microsoft.com/office/drawing/2014/chart" uri="{C3380CC4-5D6E-409C-BE32-E72D297353CC}">
                  <c16:uniqueId val="{00000003-9387-4681-8A3C-E1BFA4E1D21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Sheet2!$A$3:$A$5</c:f>
              <c:strCache>
                <c:ptCount val="2"/>
                <c:pt idx="0">
                  <c:v>Essential</c:v>
                </c:pt>
                <c:pt idx="1">
                  <c:v>Impulsive</c:v>
                </c:pt>
              </c:strCache>
            </c:strRef>
          </c:cat>
          <c:val>
            <c:numRef>
              <c:f>Sheet2!$B$3:$B$5</c:f>
              <c:numCache>
                <c:formatCode>General</c:formatCode>
                <c:ptCount val="2"/>
                <c:pt idx="0">
                  <c:v>13</c:v>
                </c:pt>
                <c:pt idx="1">
                  <c:v>7</c:v>
                </c:pt>
              </c:numCache>
            </c:numRef>
          </c:val>
          <c:extLst>
            <c:ext xmlns:c16="http://schemas.microsoft.com/office/drawing/2014/chart" uri="{C3380CC4-5D6E-409C-BE32-E72D297353CC}">
              <c16:uniqueId val="{00000004-9387-4681-8A3C-E1BFA4E1D21F}"/>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[Grocery Run.xlsx]Sheet2!PivotTable2</c:name>
    <c:fmtId val="2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In</a:t>
            </a:r>
            <a:r>
              <a:rPr lang="en-IN" baseline="0"/>
              <a:t> Store Buying Vs Online Buying</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w="25400">
          <a:noFill/>
        </a:ln>
        <a:effectLst/>
        <a:sp3d/>
      </c:spPr>
    </c:backWall>
    <c:plotArea>
      <c:layout/>
      <c:bar3DChart>
        <c:barDir val="col"/>
        <c:grouping val="percentStacked"/>
        <c:varyColors val="0"/>
        <c:ser>
          <c:idx val="0"/>
          <c:order val="0"/>
          <c:tx>
            <c:strRef>
              <c:f>Sheet2!$B$7</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Sheet2!$A$8:$A$10</c:f>
              <c:strCache>
                <c:ptCount val="2"/>
                <c:pt idx="0">
                  <c:v>In-Store</c:v>
                </c:pt>
                <c:pt idx="1">
                  <c:v>Online</c:v>
                </c:pt>
              </c:strCache>
            </c:strRef>
          </c:cat>
          <c:val>
            <c:numRef>
              <c:f>Sheet2!$B$8:$B$10</c:f>
              <c:numCache>
                <c:formatCode>General</c:formatCode>
                <c:ptCount val="2"/>
                <c:pt idx="0">
                  <c:v>13</c:v>
                </c:pt>
                <c:pt idx="1">
                  <c:v>7</c:v>
                </c:pt>
              </c:numCache>
            </c:numRef>
          </c:val>
          <c:extLst>
            <c:ext xmlns:c16="http://schemas.microsoft.com/office/drawing/2014/chart" uri="{C3380CC4-5D6E-409C-BE32-E72D297353CC}">
              <c16:uniqueId val="{00000000-6B3E-453B-8721-3A6E0BC06054}"/>
            </c:ext>
          </c:extLst>
        </c:ser>
        <c:dLbls>
          <c:showLegendKey val="0"/>
          <c:showVal val="0"/>
          <c:showCatName val="0"/>
          <c:showSerName val="0"/>
          <c:showPercent val="0"/>
          <c:showBubbleSize val="0"/>
        </c:dLbls>
        <c:gapWidth val="150"/>
        <c:shape val="box"/>
        <c:axId val="2032077071"/>
        <c:axId val="2032078031"/>
        <c:axId val="0"/>
      </c:bar3DChart>
      <c:catAx>
        <c:axId val="2032077071"/>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078031"/>
        <c:crosses val="autoZero"/>
        <c:auto val="1"/>
        <c:lblAlgn val="ctr"/>
        <c:lblOffset val="100"/>
        <c:noMultiLvlLbl val="0"/>
      </c:catAx>
      <c:valAx>
        <c:axId val="2032078031"/>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077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Run.xlsx]Sheet2!PivotTable3</c:name>
    <c:fmtId val="2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Mode</a:t>
            </a:r>
            <a:r>
              <a:rPr lang="en-IN" baseline="0"/>
              <a:t> of Payment</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Sheet2!$B$12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Sheet2!$A$13:$A$16</c:f>
              <c:strCache>
                <c:ptCount val="3"/>
                <c:pt idx="0">
                  <c:v>Cash</c:v>
                </c:pt>
                <c:pt idx="1">
                  <c:v>Credit Card</c:v>
                </c:pt>
                <c:pt idx="2">
                  <c:v>UPI</c:v>
                </c:pt>
              </c:strCache>
            </c:strRef>
          </c:cat>
          <c:val>
            <c:numRef>
              <c:f>Sheet2!$B$13:$B$16</c:f>
              <c:numCache>
                <c:formatCode>General</c:formatCode>
                <c:ptCount val="3"/>
                <c:pt idx="0">
                  <c:v>5</c:v>
                </c:pt>
                <c:pt idx="1">
                  <c:v>10</c:v>
                </c:pt>
                <c:pt idx="2">
                  <c:v>5</c:v>
                </c:pt>
              </c:numCache>
            </c:numRef>
          </c:val>
          <c:extLst>
            <c:ext xmlns:c16="http://schemas.microsoft.com/office/drawing/2014/chart" uri="{C3380CC4-5D6E-409C-BE32-E72D297353CC}">
              <c16:uniqueId val="{00000000-A4BD-4453-8FCC-1CD26B4FFB07}"/>
            </c:ext>
          </c:extLst>
        </c:ser>
        <c:dLbls>
          <c:showLegendKey val="0"/>
          <c:showVal val="0"/>
          <c:showCatName val="0"/>
          <c:showSerName val="0"/>
          <c:showPercent val="0"/>
          <c:showBubbleSize val="0"/>
        </c:dLbls>
        <c:gapWidth val="150"/>
        <c:shape val="box"/>
        <c:axId val="1646821583"/>
        <c:axId val="1646820623"/>
        <c:axId val="0"/>
      </c:bar3DChart>
      <c:catAx>
        <c:axId val="1646821583"/>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820623"/>
        <c:crosses val="autoZero"/>
        <c:auto val="1"/>
        <c:lblAlgn val="ctr"/>
        <c:lblOffset val="100"/>
        <c:noMultiLvlLbl val="0"/>
      </c:catAx>
      <c:valAx>
        <c:axId val="164682062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821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Run.xlsx]Sheet2!PivotTable5</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marker>
          <c:symbol val="none"/>
        </c:marke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s>
    <c:plotArea>
      <c:layout>
        <c:manualLayout>
          <c:layoutTarget val="inner"/>
          <c:xMode val="edge"/>
          <c:yMode val="edge"/>
          <c:x val="0.18894903762029744"/>
          <c:y val="4.1867162438028578E-2"/>
          <c:w val="0.59710192475940504"/>
          <c:h val="0.94424394867308248"/>
        </c:manualLayout>
      </c:layout>
      <c:doughnutChart>
        <c:varyColors val="1"/>
        <c:ser>
          <c:idx val="0"/>
          <c:order val="0"/>
          <c:tx>
            <c:strRef>
              <c:f>Sheet2!$B$32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E9E-4AAE-BBBA-E423E3C397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E9E-4AAE-BBBA-E423E3C3972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E9E-4AAE-BBBA-E423E3C3972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E9E-4AAE-BBBA-E423E3C3972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E9E-4AAE-BBBA-E423E3C3972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E9E-4AAE-BBBA-E423E3C3972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E9E-4AAE-BBBA-E423E3C3972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DE9E-4AAE-BBBA-E423E3C3972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DE9E-4AAE-BBBA-E423E3C3972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DE9E-4AAE-BBBA-E423E3C39724}"/>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DE9E-4AAE-BBBA-E423E3C39724}"/>
              </c:ext>
            </c:extLst>
          </c:dPt>
          <c:cat>
            <c:strRef>
              <c:f>Sheet2!$A$33:$A$44</c:f>
              <c:strCache>
                <c:ptCount val="11"/>
                <c:pt idx="0">
                  <c:v>Beverages</c:v>
                </c:pt>
                <c:pt idx="1">
                  <c:v>Dairy</c:v>
                </c:pt>
                <c:pt idx="2">
                  <c:v>Frozen</c:v>
                </c:pt>
                <c:pt idx="3">
                  <c:v>Fruits</c:v>
                </c:pt>
                <c:pt idx="4">
                  <c:v>Grains</c:v>
                </c:pt>
                <c:pt idx="5">
                  <c:v>Household</c:v>
                </c:pt>
                <c:pt idx="6">
                  <c:v>Produce</c:v>
                </c:pt>
                <c:pt idx="7">
                  <c:v>Protein</c:v>
                </c:pt>
                <c:pt idx="8">
                  <c:v>Pulses</c:v>
                </c:pt>
                <c:pt idx="9">
                  <c:v>Snacks</c:v>
                </c:pt>
                <c:pt idx="10">
                  <c:v>Staples</c:v>
                </c:pt>
              </c:strCache>
            </c:strRef>
          </c:cat>
          <c:val>
            <c:numRef>
              <c:f>Sheet2!$B$33:$B$44</c:f>
              <c:numCache>
                <c:formatCode>General</c:formatCode>
                <c:ptCount val="11"/>
                <c:pt idx="0">
                  <c:v>2</c:v>
                </c:pt>
                <c:pt idx="1">
                  <c:v>2</c:v>
                </c:pt>
                <c:pt idx="2">
                  <c:v>1</c:v>
                </c:pt>
                <c:pt idx="3">
                  <c:v>2</c:v>
                </c:pt>
                <c:pt idx="4">
                  <c:v>2</c:v>
                </c:pt>
                <c:pt idx="5">
                  <c:v>3</c:v>
                </c:pt>
                <c:pt idx="6">
                  <c:v>1</c:v>
                </c:pt>
                <c:pt idx="7">
                  <c:v>2</c:v>
                </c:pt>
                <c:pt idx="8">
                  <c:v>1</c:v>
                </c:pt>
                <c:pt idx="9">
                  <c:v>2</c:v>
                </c:pt>
                <c:pt idx="10">
                  <c:v>2</c:v>
                </c:pt>
              </c:numCache>
            </c:numRef>
          </c:val>
          <c:extLst>
            <c:ext xmlns:c16="http://schemas.microsoft.com/office/drawing/2014/chart" uri="{C3380CC4-5D6E-409C-BE32-E72D297353CC}">
              <c16:uniqueId val="{00000016-DE9E-4AAE-BBBA-E423E3C3972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Run.xlsx]Sheet2!PivotTable4</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Rating</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Sheet2!$B$18</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Sheet2!$A$19:$A$30</c:f>
              <c:strCache>
                <c:ptCount val="11"/>
                <c:pt idx="0">
                  <c:v>Beverages</c:v>
                </c:pt>
                <c:pt idx="1">
                  <c:v>Dairy</c:v>
                </c:pt>
                <c:pt idx="2">
                  <c:v>Frozen</c:v>
                </c:pt>
                <c:pt idx="3">
                  <c:v>Fruits</c:v>
                </c:pt>
                <c:pt idx="4">
                  <c:v>Grains</c:v>
                </c:pt>
                <c:pt idx="5">
                  <c:v>Household</c:v>
                </c:pt>
                <c:pt idx="6">
                  <c:v>Produce</c:v>
                </c:pt>
                <c:pt idx="7">
                  <c:v>Protein</c:v>
                </c:pt>
                <c:pt idx="8">
                  <c:v>Pulses</c:v>
                </c:pt>
                <c:pt idx="9">
                  <c:v>Snacks</c:v>
                </c:pt>
                <c:pt idx="10">
                  <c:v>Staples</c:v>
                </c:pt>
              </c:strCache>
            </c:strRef>
          </c:cat>
          <c:val>
            <c:numRef>
              <c:f>Sheet2!$B$19:$B$30</c:f>
              <c:numCache>
                <c:formatCode>General</c:formatCode>
                <c:ptCount val="11"/>
                <c:pt idx="0">
                  <c:v>8</c:v>
                </c:pt>
                <c:pt idx="1">
                  <c:v>9</c:v>
                </c:pt>
                <c:pt idx="2">
                  <c:v>1</c:v>
                </c:pt>
                <c:pt idx="3">
                  <c:v>7</c:v>
                </c:pt>
                <c:pt idx="4">
                  <c:v>10</c:v>
                </c:pt>
                <c:pt idx="5">
                  <c:v>10</c:v>
                </c:pt>
                <c:pt idx="6">
                  <c:v>5</c:v>
                </c:pt>
                <c:pt idx="7">
                  <c:v>9</c:v>
                </c:pt>
                <c:pt idx="8">
                  <c:v>4</c:v>
                </c:pt>
                <c:pt idx="9">
                  <c:v>8</c:v>
                </c:pt>
                <c:pt idx="10">
                  <c:v>9</c:v>
                </c:pt>
              </c:numCache>
            </c:numRef>
          </c:val>
          <c:smooth val="0"/>
          <c:extLst>
            <c:ext xmlns:c16="http://schemas.microsoft.com/office/drawing/2014/chart" uri="{C3380CC4-5D6E-409C-BE32-E72D297353CC}">
              <c16:uniqueId val="{00000000-BF0C-468C-8E09-DB7D1D1A83DF}"/>
            </c:ext>
          </c:extLst>
        </c:ser>
        <c:dLbls>
          <c:dLblPos val="ctr"/>
          <c:showLegendKey val="0"/>
          <c:showVal val="1"/>
          <c:showCatName val="0"/>
          <c:showSerName val="0"/>
          <c:showPercent val="0"/>
          <c:showBubbleSize val="0"/>
        </c:dLbls>
        <c:marker val="1"/>
        <c:smooth val="0"/>
        <c:axId val="1331184303"/>
        <c:axId val="2019696911"/>
      </c:lineChart>
      <c:catAx>
        <c:axId val="13311843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696911"/>
        <c:crosses val="autoZero"/>
        <c:auto val="1"/>
        <c:lblAlgn val="ctr"/>
        <c:lblOffset val="100"/>
        <c:noMultiLvlLbl val="0"/>
      </c:catAx>
      <c:valAx>
        <c:axId val="20196969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184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2.png"/><Relationship Id="rId7" Type="http://schemas.openxmlformats.org/officeDocument/2006/relationships/chart" Target="../charts/chart4.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37</xdr:col>
      <xdr:colOff>119062</xdr:colOff>
      <xdr:row>57</xdr:row>
      <xdr:rowOff>71679</xdr:rowOff>
    </xdr:to>
    <xdr:pic>
      <xdr:nvPicPr>
        <xdr:cNvPr id="3" name="Picture 2">
          <a:extLst>
            <a:ext uri="{FF2B5EF4-FFF2-40B4-BE49-F238E27FC236}">
              <a16:creationId xmlns:a16="http://schemas.microsoft.com/office/drawing/2014/main" id="{F9FD1B16-798B-1732-EA20-3BE707B9FA55}"/>
            </a:ext>
          </a:extLst>
        </xdr:cNvPr>
        <xdr:cNvPicPr>
          <a:picLocks noChangeAspect="1"/>
        </xdr:cNvPicPr>
      </xdr:nvPicPr>
      <xdr:blipFill>
        <a:blip xmlns:r="http://schemas.openxmlformats.org/officeDocument/2006/relationships" r:embed="rId1" cstate="print">
          <a:alphaModFix/>
          <a:extLst>
            <a:ext uri="{BEBA8EAE-BF5A-486C-A8C5-ECC9F3942E4B}">
              <a14:imgProps xmlns:a14="http://schemas.microsoft.com/office/drawing/2010/main">
                <a14:imgLayer r:embed="rId2">
                  <a14:imgEffect>
                    <a14:colorTemperature colorTemp="8800"/>
                  </a14:imgEffect>
                </a14:imgLayer>
              </a14:imgProps>
            </a:ext>
            <a:ext uri="{28A0092B-C50C-407E-A947-70E740481C1C}">
              <a14:useLocalDpi xmlns:a14="http://schemas.microsoft.com/office/drawing/2010/main" val="0"/>
            </a:ext>
          </a:extLst>
        </a:blip>
        <a:stretch>
          <a:fillRect/>
        </a:stretch>
      </xdr:blipFill>
      <xdr:spPr>
        <a:xfrm>
          <a:off x="0" y="0"/>
          <a:ext cx="22586156" cy="10251523"/>
        </a:xfrm>
        <a:prstGeom prst="rect">
          <a:avLst/>
        </a:prstGeom>
      </xdr:spPr>
    </xdr:pic>
    <xdr:clientData/>
  </xdr:twoCellAnchor>
  <xdr:twoCellAnchor editAs="oneCell">
    <xdr:from>
      <xdr:col>4</xdr:col>
      <xdr:colOff>405580</xdr:colOff>
      <xdr:row>2</xdr:row>
      <xdr:rowOff>36871</xdr:rowOff>
    </xdr:from>
    <xdr:to>
      <xdr:col>24</xdr:col>
      <xdr:colOff>393290</xdr:colOff>
      <xdr:row>6</xdr:row>
      <xdr:rowOff>29364</xdr:rowOff>
    </xdr:to>
    <xdr:pic>
      <xdr:nvPicPr>
        <xdr:cNvPr id="4" name="Picture 3">
          <a:extLst>
            <a:ext uri="{FF2B5EF4-FFF2-40B4-BE49-F238E27FC236}">
              <a16:creationId xmlns:a16="http://schemas.microsoft.com/office/drawing/2014/main" id="{419270B1-1FEA-5A1D-1325-0CE1AA2CC46E}"/>
            </a:ext>
          </a:extLst>
        </xdr:cNvPr>
        <xdr:cNvPicPr>
          <a:picLocks noChangeAspect="1"/>
        </xdr:cNvPicPr>
      </xdr:nvPicPr>
      <xdr:blipFill>
        <a:blip xmlns:r="http://schemas.openxmlformats.org/officeDocument/2006/relationships" r:embed="rId3"/>
        <a:stretch>
          <a:fillRect/>
        </a:stretch>
      </xdr:blipFill>
      <xdr:spPr>
        <a:xfrm>
          <a:off x="2863645" y="405581"/>
          <a:ext cx="12278032" cy="729912"/>
        </a:xfrm>
        <a:prstGeom prst="rect">
          <a:avLst/>
        </a:prstGeom>
      </xdr:spPr>
    </xdr:pic>
    <xdr:clientData/>
  </xdr:twoCellAnchor>
  <xdr:twoCellAnchor>
    <xdr:from>
      <xdr:col>0</xdr:col>
      <xdr:colOff>98706</xdr:colOff>
      <xdr:row>6</xdr:row>
      <xdr:rowOff>47625</xdr:rowOff>
    </xdr:from>
    <xdr:to>
      <xdr:col>7</xdr:col>
      <xdr:colOff>37254</xdr:colOff>
      <xdr:row>24</xdr:row>
      <xdr:rowOff>133658</xdr:rowOff>
    </xdr:to>
    <xdr:graphicFrame macro="">
      <xdr:nvGraphicFramePr>
        <xdr:cNvPr id="6" name="Chart 5">
          <a:extLst>
            <a:ext uri="{FF2B5EF4-FFF2-40B4-BE49-F238E27FC236}">
              <a16:creationId xmlns:a16="http://schemas.microsoft.com/office/drawing/2014/main" id="{8B5B8886-7D15-44A3-BE8B-3618362616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149020</xdr:colOff>
      <xdr:row>6</xdr:row>
      <xdr:rowOff>158236</xdr:rowOff>
    </xdr:from>
    <xdr:to>
      <xdr:col>14</xdr:col>
      <xdr:colOff>493149</xdr:colOff>
      <xdr:row>25</xdr:row>
      <xdr:rowOff>130969</xdr:rowOff>
    </xdr:to>
    <xdr:graphicFrame macro="">
      <xdr:nvGraphicFramePr>
        <xdr:cNvPr id="7" name="Chart 6">
          <a:extLst>
            <a:ext uri="{FF2B5EF4-FFF2-40B4-BE49-F238E27FC236}">
              <a16:creationId xmlns:a16="http://schemas.microsoft.com/office/drawing/2014/main" id="{C2397936-206F-4737-943B-FF401E9506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98322</xdr:colOff>
      <xdr:row>8</xdr:row>
      <xdr:rowOff>159775</xdr:rowOff>
    </xdr:from>
    <xdr:to>
      <xdr:col>25</xdr:col>
      <xdr:colOff>404812</xdr:colOff>
      <xdr:row>26</xdr:row>
      <xdr:rowOff>0</xdr:rowOff>
    </xdr:to>
    <xdr:graphicFrame macro="">
      <xdr:nvGraphicFramePr>
        <xdr:cNvPr id="8" name="Chart 7">
          <a:extLst>
            <a:ext uri="{FF2B5EF4-FFF2-40B4-BE49-F238E27FC236}">
              <a16:creationId xmlns:a16="http://schemas.microsoft.com/office/drawing/2014/main" id="{AA5C7178-31A3-4757-AFAE-5F21CCB843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26</xdr:col>
      <xdr:colOff>48009</xdr:colOff>
      <xdr:row>1</xdr:row>
      <xdr:rowOff>64907</xdr:rowOff>
    </xdr:from>
    <xdr:to>
      <xdr:col>35</xdr:col>
      <xdr:colOff>535782</xdr:colOff>
      <xdr:row>15</xdr:row>
      <xdr:rowOff>48595</xdr:rowOff>
    </xdr:to>
    <mc:AlternateContent xmlns:mc="http://schemas.openxmlformats.org/markup-compatibility/2006">
      <mc:Choice xmlns:a14="http://schemas.microsoft.com/office/drawing/2010/main" Requires="a14">
        <xdr:graphicFrame macro="">
          <xdr:nvGraphicFramePr>
            <xdr:cNvPr id="9" name="Items">
              <a:extLst>
                <a:ext uri="{FF2B5EF4-FFF2-40B4-BE49-F238E27FC236}">
                  <a16:creationId xmlns:a16="http://schemas.microsoft.com/office/drawing/2014/main" id="{AE34B4EF-F42B-4038-B159-0495D35D5927}"/>
                </a:ext>
              </a:extLst>
            </xdr:cNvPr>
            <xdr:cNvGraphicFramePr/>
          </xdr:nvGraphicFramePr>
          <xdr:xfrm>
            <a:off x="0" y="0"/>
            <a:ext cx="0" cy="0"/>
          </xdr:xfrm>
          <a:graphic>
            <a:graphicData uri="http://schemas.microsoft.com/office/drawing/2010/slicer">
              <sle:slicer xmlns:sle="http://schemas.microsoft.com/office/drawing/2010/slicer" name="Items"/>
            </a:graphicData>
          </a:graphic>
        </xdr:graphicFrame>
      </mc:Choice>
      <mc:Fallback>
        <xdr:sp macro="" textlink="">
          <xdr:nvSpPr>
            <xdr:cNvPr id="0" name=""/>
            <xdr:cNvSpPr>
              <a:spLocks noTextEdit="1"/>
            </xdr:cNvSpPr>
          </xdr:nvSpPr>
          <xdr:spPr>
            <a:xfrm>
              <a:off x="15789050" y="252797"/>
              <a:ext cx="5936595" cy="26141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110611</xdr:colOff>
      <xdr:row>26</xdr:row>
      <xdr:rowOff>86032</xdr:rowOff>
    </xdr:from>
    <xdr:to>
      <xdr:col>6</xdr:col>
      <xdr:colOff>583405</xdr:colOff>
      <xdr:row>53</xdr:row>
      <xdr:rowOff>166686</xdr:rowOff>
    </xdr:to>
    <xdr:graphicFrame macro="">
      <xdr:nvGraphicFramePr>
        <xdr:cNvPr id="10" name="Chart 9">
          <a:extLst>
            <a:ext uri="{FF2B5EF4-FFF2-40B4-BE49-F238E27FC236}">
              <a16:creationId xmlns:a16="http://schemas.microsoft.com/office/drawing/2014/main" id="{C618FA96-DE0C-44E8-8043-D1433B866E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73742</xdr:colOff>
      <xdr:row>27</xdr:row>
      <xdr:rowOff>73742</xdr:rowOff>
    </xdr:from>
    <xdr:to>
      <xdr:col>22</xdr:col>
      <xdr:colOff>404812</xdr:colOff>
      <xdr:row>54</xdr:row>
      <xdr:rowOff>11906</xdr:rowOff>
    </xdr:to>
    <xdr:graphicFrame macro="">
      <xdr:nvGraphicFramePr>
        <xdr:cNvPr id="11" name="Chart 10">
          <a:extLst>
            <a:ext uri="{FF2B5EF4-FFF2-40B4-BE49-F238E27FC236}">
              <a16:creationId xmlns:a16="http://schemas.microsoft.com/office/drawing/2014/main" id="{9C8296C8-4195-4984-AF95-C0AD9886FB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26</xdr:col>
      <xdr:colOff>83343</xdr:colOff>
      <xdr:row>16</xdr:row>
      <xdr:rowOff>47623</xdr:rowOff>
    </xdr:from>
    <xdr:to>
      <xdr:col>36</xdr:col>
      <xdr:colOff>95156</xdr:colOff>
      <xdr:row>27</xdr:row>
      <xdr:rowOff>135092</xdr:rowOff>
    </xdr:to>
    <mc:AlternateContent xmlns:mc="http://schemas.openxmlformats.org/markup-compatibility/2006">
      <mc:Choice xmlns:a14="http://schemas.microsoft.com/office/drawing/2010/main" Requires="a14">
        <xdr:graphicFrame macro="">
          <xdr:nvGraphicFramePr>
            <xdr:cNvPr id="12" name="Category">
              <a:extLst>
                <a:ext uri="{FF2B5EF4-FFF2-40B4-BE49-F238E27FC236}">
                  <a16:creationId xmlns:a16="http://schemas.microsoft.com/office/drawing/2014/main" id="{B9CC6B6B-4C6A-4B32-BD9C-CDD28E4BEF0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5824384" y="3053870"/>
              <a:ext cx="6066060" cy="21542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61.571914004628" createdVersion="8" refreshedVersion="8" minRefreshableVersion="3" recordCount="20" xr:uid="{83968909-9B5E-4465-B987-B186583997FC}">
  <cacheSource type="worksheet">
    <worksheetSource ref="A1:M21" sheet="Main Sheet"/>
  </cacheSource>
  <cacheFields count="13">
    <cacheField name="Date" numFmtId="14">
      <sharedItems containsSemiMixedTypes="0" containsNonDate="0" containsDate="1" containsString="0" minDate="2026-01-01T00:00:00" maxDate="2026-01-17T00:00:00"/>
    </cacheField>
    <cacheField name="Item Name" numFmtId="0">
      <sharedItems count="20">
        <s v="Basmati Rice"/>
        <s v="Potato Chips"/>
        <s v="Milk"/>
        <s v="Moong Dal"/>
        <s v="Dark Chocolate"/>
        <s v="Eggs"/>
        <s v="Onion"/>
        <s v="Strawberries"/>
        <s v="Chakki Atta"/>
        <s v="Fabric Softener"/>
        <s v="Dishwash Bar"/>
        <s v="Chicken"/>
        <s v="Sugar"/>
        <s v="Instant Coffee"/>
        <s v="Frozen Pizza"/>
        <s v="Paneer"/>
        <s v="Cold Drink"/>
        <s v="Gala Apples"/>
        <s v="Scented Spray"/>
        <s v="Iodized Salt"/>
      </sharedItems>
    </cacheField>
    <cacheField name="Category" numFmtId="0">
      <sharedItems count="11">
        <s v="Grains"/>
        <s v="Snacks"/>
        <s v="Dairy"/>
        <s v="Pulses"/>
        <s v="Protein"/>
        <s v="Produce"/>
        <s v="Fruits"/>
        <s v="Household"/>
        <s v="Staples"/>
        <s v="Beverages"/>
        <s v="Frozen"/>
      </sharedItems>
    </cacheField>
    <cacheField name="Type" numFmtId="0">
      <sharedItems count="2">
        <s v="Essential"/>
        <s v="Impulsive"/>
      </sharedItems>
    </cacheField>
    <cacheField name="Qty" numFmtId="0">
      <sharedItems containsSemiMixedTypes="0" containsString="0" containsNumber="1" minValue="1" maxValue="30"/>
    </cacheField>
    <cacheField name="UOM" numFmtId="0">
      <sharedItems/>
    </cacheField>
    <cacheField name="Price (₹)" numFmtId="165">
      <sharedItems containsSemiMixedTypes="0" containsString="0" containsNumber="1" minValue="7" maxValue="490"/>
    </cacheField>
    <cacheField name="Online Disc. (₹)" numFmtId="165">
      <sharedItems containsSemiMixedTypes="0" containsString="0" containsNumber="1" containsInteger="1" minValue="0" maxValue="60"/>
    </cacheField>
    <cacheField name="CC Disc. (₹)" numFmtId="165">
      <sharedItems containsSemiMixedTypes="0" containsString="0" containsNumber="1" containsInteger="1" minValue="0" maxValue="25"/>
    </cacheField>
    <cacheField name="Final Total (₹)" numFmtId="165">
      <sharedItems containsSemiMixedTypes="0" containsString="0" containsNumber="1" containsInteger="1" minValue="30" maxValue="838"/>
    </cacheField>
    <cacheField name="Purchase Mode" numFmtId="0">
      <sharedItems count="2">
        <s v="In-Store"/>
        <s v="Online"/>
      </sharedItems>
    </cacheField>
    <cacheField name="Payment" numFmtId="0">
      <sharedItems count="3">
        <s v="Credit Card"/>
        <s v="UPI"/>
        <s v="Cash"/>
      </sharedItems>
    </cacheField>
    <cacheField name="Rating" numFmtId="0">
      <sharedItems containsSemiMixedTypes="0" containsString="0" containsNumber="1" containsInteger="1" minValue="1" maxValue="5"/>
    </cacheField>
  </cacheFields>
  <extLst>
    <ext xmlns:x14="http://schemas.microsoft.com/office/spreadsheetml/2009/9/main" uri="{725AE2AE-9491-48be-B2B4-4EB974FC3084}">
      <x14:pivotCacheDefinition pivotCacheId="47640432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60.858802430557" createdVersion="8" refreshedVersion="8" minRefreshableVersion="3" recordCount="22" xr:uid="{303805C2-B4B8-4761-ACBC-FC8293F7EEFF}">
  <cacheSource type="worksheet">
    <worksheetSource name="Table1"/>
  </cacheSource>
  <cacheFields count="13">
    <cacheField name="Date" numFmtId="0">
      <sharedItems containsNonDate="0" containsDate="1" containsString="0" containsBlank="1" minDate="2026-01-01T00:00:00" maxDate="2026-01-17T00:00:00"/>
    </cacheField>
    <cacheField name="Item Name" numFmtId="0">
      <sharedItems containsBlank="1"/>
    </cacheField>
    <cacheField name="Category" numFmtId="0">
      <sharedItems containsBlank="1" count="12">
        <s v="Grains"/>
        <s v="Snacks"/>
        <s v="Dairy"/>
        <s v="Pulses"/>
        <s v="Protein"/>
        <s v="Produce"/>
        <s v="Fruits"/>
        <s v="Household"/>
        <s v="Staples"/>
        <s v="Beverages"/>
        <s v="Frozen"/>
        <m/>
      </sharedItems>
    </cacheField>
    <cacheField name="Type" numFmtId="0">
      <sharedItems containsBlank="1"/>
    </cacheField>
    <cacheField name="Qty" numFmtId="0">
      <sharedItems containsString="0" containsBlank="1" containsNumber="1" minValue="1" maxValue="30"/>
    </cacheField>
    <cacheField name="UOM" numFmtId="0">
      <sharedItems containsBlank="1"/>
    </cacheField>
    <cacheField name="Price (₹)" numFmtId="0">
      <sharedItems containsString="0" containsBlank="1" containsNumber="1" minValue="7" maxValue="490"/>
    </cacheField>
    <cacheField name="Online Disc. (₹)" numFmtId="0">
      <sharedItems containsString="0" containsBlank="1" containsNumber="1" containsInteger="1" minValue="0" maxValue="60"/>
    </cacheField>
    <cacheField name="CC Disc. (₹)" numFmtId="0">
      <sharedItems containsMixedTypes="1" containsNumber="1" containsInteger="1" minValue="0" maxValue="25"/>
    </cacheField>
    <cacheField name="Final Total (₹)" numFmtId="165">
      <sharedItems containsSemiMixedTypes="0" containsString="0" containsNumber="1" minValue="30" maxValue="6353"/>
    </cacheField>
    <cacheField name="Purchase Mode" numFmtId="0">
      <sharedItems containsBlank="1"/>
    </cacheField>
    <cacheField name="Payment" numFmtId="0">
      <sharedItems containsBlank="1" containsMixedTypes="1" containsNumber="1" containsInteger="1" minValue="5" maxValue="5"/>
    </cacheField>
    <cacheField name="Rating" numFmtId="0">
      <sharedItems containsString="0" containsBlank="1" containsNumber="1" containsInteger="1" minValue="1" maxValue="5"/>
    </cacheField>
  </cacheFields>
  <extLst>
    <ext xmlns:x14="http://schemas.microsoft.com/office/spreadsheetml/2009/9/main" uri="{725AE2AE-9491-48be-B2B4-4EB974FC3084}">
      <x14:pivotCacheDefinition pivotCacheId="794481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6-01-01T00:00:00"/>
    <x v="0"/>
    <x v="0"/>
    <x v="0"/>
    <n v="5"/>
    <s v="kg"/>
    <n v="110"/>
    <n v="0"/>
    <n v="25"/>
    <n v="525"/>
    <x v="0"/>
    <x v="0"/>
    <n v="5"/>
  </r>
  <r>
    <d v="2026-01-01T00:00:00"/>
    <x v="1"/>
    <x v="1"/>
    <x v="1"/>
    <n v="2"/>
    <s v="pkt"/>
    <n v="95"/>
    <n v="0"/>
    <n v="10"/>
    <n v="180"/>
    <x v="0"/>
    <x v="0"/>
    <n v="3"/>
  </r>
  <r>
    <d v="2026-01-02T00:00:00"/>
    <x v="2"/>
    <x v="2"/>
    <x v="0"/>
    <n v="12"/>
    <s v="L"/>
    <n v="74"/>
    <n v="50"/>
    <n v="0"/>
    <n v="838"/>
    <x v="1"/>
    <x v="1"/>
    <n v="5"/>
  </r>
  <r>
    <d v="2026-01-03T00:00:00"/>
    <x v="3"/>
    <x v="3"/>
    <x v="0"/>
    <n v="2"/>
    <s v="kg"/>
    <n v="160"/>
    <n v="0"/>
    <n v="0"/>
    <n v="320"/>
    <x v="0"/>
    <x v="2"/>
    <n v="4"/>
  </r>
  <r>
    <d v="2026-01-03T00:00:00"/>
    <x v="4"/>
    <x v="1"/>
    <x v="1"/>
    <n v="1"/>
    <s v="bar"/>
    <n v="220"/>
    <n v="0"/>
    <n v="0"/>
    <n v="220"/>
    <x v="0"/>
    <x v="2"/>
    <n v="5"/>
  </r>
  <r>
    <d v="2026-01-04T00:00:00"/>
    <x v="5"/>
    <x v="4"/>
    <x v="0"/>
    <n v="30"/>
    <s v="pcs"/>
    <n v="7"/>
    <n v="15"/>
    <n v="10"/>
    <n v="185"/>
    <x v="1"/>
    <x v="0"/>
    <n v="4"/>
  </r>
  <r>
    <d v="2026-01-05T00:00:00"/>
    <x v="6"/>
    <x v="5"/>
    <x v="0"/>
    <n v="5"/>
    <s v="kg"/>
    <n v="48"/>
    <n v="0"/>
    <n v="0"/>
    <n v="240"/>
    <x v="0"/>
    <x v="2"/>
    <n v="5"/>
  </r>
  <r>
    <d v="2026-01-05T00:00:00"/>
    <x v="7"/>
    <x v="6"/>
    <x v="1"/>
    <n v="2"/>
    <s v="box"/>
    <n v="150"/>
    <n v="0"/>
    <n v="0"/>
    <n v="300"/>
    <x v="0"/>
    <x v="1"/>
    <n v="2"/>
  </r>
  <r>
    <d v="2026-01-06T00:00:00"/>
    <x v="8"/>
    <x v="0"/>
    <x v="0"/>
    <n v="10"/>
    <s v="kg"/>
    <n v="49.5"/>
    <n v="40"/>
    <n v="20"/>
    <n v="435"/>
    <x v="1"/>
    <x v="0"/>
    <n v="5"/>
  </r>
  <r>
    <d v="2026-01-07T00:00:00"/>
    <x v="9"/>
    <x v="7"/>
    <x v="1"/>
    <n v="1"/>
    <s v="L"/>
    <n v="380"/>
    <n v="0"/>
    <n v="15"/>
    <n v="365"/>
    <x v="0"/>
    <x v="0"/>
    <n v="4"/>
  </r>
  <r>
    <d v="2026-01-07T00:00:00"/>
    <x v="10"/>
    <x v="7"/>
    <x v="0"/>
    <n v="4"/>
    <s v="pcs"/>
    <n v="40"/>
    <n v="0"/>
    <n v="10"/>
    <n v="150"/>
    <x v="0"/>
    <x v="0"/>
    <n v="4"/>
  </r>
  <r>
    <d v="2026-01-08T00:00:00"/>
    <x v="11"/>
    <x v="4"/>
    <x v="0"/>
    <n v="2"/>
    <s v="kg"/>
    <n v="280"/>
    <n v="30"/>
    <n v="25"/>
    <n v="505"/>
    <x v="1"/>
    <x v="0"/>
    <n v="5"/>
  </r>
  <r>
    <d v="2026-01-09T00:00:00"/>
    <x v="12"/>
    <x v="8"/>
    <x v="0"/>
    <n v="3"/>
    <s v="kg"/>
    <n v="50"/>
    <n v="0"/>
    <n v="0"/>
    <n v="150"/>
    <x v="0"/>
    <x v="2"/>
    <n v="4"/>
  </r>
  <r>
    <d v="2026-01-10T00:00:00"/>
    <x v="13"/>
    <x v="9"/>
    <x v="0"/>
    <n v="1"/>
    <s v="jar"/>
    <n v="340"/>
    <n v="20"/>
    <n v="0"/>
    <n v="320"/>
    <x v="1"/>
    <x v="1"/>
    <n v="5"/>
  </r>
  <r>
    <d v="2026-01-10T00:00:00"/>
    <x v="14"/>
    <x v="10"/>
    <x v="1"/>
    <n v="2"/>
    <s v="pcs"/>
    <n v="250"/>
    <n v="60"/>
    <n v="20"/>
    <n v="420"/>
    <x v="1"/>
    <x v="0"/>
    <n v="1"/>
  </r>
  <r>
    <d v="2026-01-12T00:00:00"/>
    <x v="15"/>
    <x v="2"/>
    <x v="0"/>
    <n v="1"/>
    <s v="kg"/>
    <n v="490"/>
    <n v="45"/>
    <n v="0"/>
    <n v="445"/>
    <x v="1"/>
    <x v="1"/>
    <n v="4"/>
  </r>
  <r>
    <d v="2026-01-13T00:00:00"/>
    <x v="16"/>
    <x v="9"/>
    <x v="1"/>
    <n v="2.25"/>
    <s v="L"/>
    <n v="46.6"/>
    <n v="0"/>
    <n v="0"/>
    <n v="105"/>
    <x v="0"/>
    <x v="1"/>
    <n v="3"/>
  </r>
  <r>
    <d v="2026-01-14T00:00:00"/>
    <x v="17"/>
    <x v="6"/>
    <x v="0"/>
    <n v="2"/>
    <s v="kg"/>
    <n v="190"/>
    <n v="0"/>
    <n v="20"/>
    <n v="360"/>
    <x v="0"/>
    <x v="0"/>
    <n v="5"/>
  </r>
  <r>
    <d v="2026-01-15T00:00:00"/>
    <x v="18"/>
    <x v="7"/>
    <x v="1"/>
    <n v="1"/>
    <s v="can"/>
    <n v="275"/>
    <n v="0"/>
    <n v="15"/>
    <n v="260"/>
    <x v="0"/>
    <x v="0"/>
    <n v="2"/>
  </r>
  <r>
    <d v="2026-01-16T00:00:00"/>
    <x v="19"/>
    <x v="8"/>
    <x v="0"/>
    <n v="1"/>
    <s v="kg"/>
    <n v="30"/>
    <n v="0"/>
    <n v="0"/>
    <n v="30"/>
    <x v="0"/>
    <x v="2"/>
    <n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d v="2026-01-01T00:00:00"/>
    <s v="Basmati Rice"/>
    <x v="0"/>
    <s v="Essential"/>
    <n v="5"/>
    <s v="kg"/>
    <n v="110"/>
    <n v="0"/>
    <n v="25"/>
    <n v="525"/>
    <s v="In-Store"/>
    <s v="Credit Card"/>
    <n v="5"/>
  </r>
  <r>
    <d v="2026-01-01T00:00:00"/>
    <s v="Potato Chips"/>
    <x v="1"/>
    <s v="Impulsive"/>
    <n v="2"/>
    <s v="pkt"/>
    <n v="95"/>
    <n v="0"/>
    <n v="10"/>
    <n v="180"/>
    <s v="In-Store"/>
    <s v="Credit Card"/>
    <n v="3"/>
  </r>
  <r>
    <d v="2026-01-02T00:00:00"/>
    <s v="Milk"/>
    <x v="2"/>
    <s v="Essential"/>
    <n v="12"/>
    <s v="L"/>
    <n v="74"/>
    <n v="50"/>
    <n v="0"/>
    <n v="838"/>
    <s v="Online"/>
    <s v="UPI"/>
    <n v="5"/>
  </r>
  <r>
    <d v="2026-01-03T00:00:00"/>
    <s v="Moong Dal"/>
    <x v="3"/>
    <s v="Essential"/>
    <n v="2"/>
    <s v="kg"/>
    <n v="160"/>
    <n v="0"/>
    <n v="0"/>
    <n v="320"/>
    <s v="In-Store"/>
    <s v="Cash"/>
    <n v="4"/>
  </r>
  <r>
    <d v="2026-01-03T00:00:00"/>
    <s v="Dark Chocolate"/>
    <x v="1"/>
    <s v="Impulsive"/>
    <n v="1"/>
    <s v="bar"/>
    <n v="220"/>
    <n v="0"/>
    <n v="0"/>
    <n v="220"/>
    <s v="In-Store"/>
    <s v="Cash"/>
    <n v="5"/>
  </r>
  <r>
    <d v="2026-01-04T00:00:00"/>
    <s v="Eggs"/>
    <x v="4"/>
    <s v="Essential"/>
    <n v="30"/>
    <s v="pcs"/>
    <n v="7"/>
    <n v="15"/>
    <n v="10"/>
    <n v="185"/>
    <s v="Online"/>
    <s v="Credit Card"/>
    <n v="4"/>
  </r>
  <r>
    <d v="2026-01-05T00:00:00"/>
    <s v="Onion"/>
    <x v="5"/>
    <s v="Essential"/>
    <n v="5"/>
    <s v="kg"/>
    <n v="48"/>
    <n v="0"/>
    <n v="0"/>
    <n v="240"/>
    <s v="In-Store"/>
    <s v="Cash"/>
    <n v="5"/>
  </r>
  <r>
    <d v="2026-01-05T00:00:00"/>
    <s v="Strawberries"/>
    <x v="6"/>
    <s v="Impulsive"/>
    <n v="2"/>
    <s v="box"/>
    <n v="150"/>
    <n v="0"/>
    <n v="0"/>
    <n v="300"/>
    <s v="In-Store"/>
    <s v="UPI"/>
    <n v="2"/>
  </r>
  <r>
    <d v="2026-01-06T00:00:00"/>
    <s v="Chakki Atta"/>
    <x v="0"/>
    <s v="Essential"/>
    <n v="10"/>
    <s v="kg"/>
    <n v="49.5"/>
    <n v="40"/>
    <n v="20"/>
    <n v="435"/>
    <s v="Online"/>
    <s v="Credit Card"/>
    <n v="5"/>
  </r>
  <r>
    <d v="2026-01-07T00:00:00"/>
    <s v="Fabric Softener"/>
    <x v="7"/>
    <s v="Impulsive"/>
    <n v="1"/>
    <s v="L"/>
    <n v="380"/>
    <n v="0"/>
    <n v="15"/>
    <n v="365"/>
    <s v="In-Store"/>
    <s v="Credit Card"/>
    <n v="4"/>
  </r>
  <r>
    <d v="2026-01-07T00:00:00"/>
    <s v="Dishwash Bar"/>
    <x v="7"/>
    <s v="Essential"/>
    <n v="4"/>
    <s v="pcs"/>
    <n v="40"/>
    <n v="0"/>
    <n v="10"/>
    <n v="150"/>
    <s v="In-Store"/>
    <s v="Credit Card"/>
    <n v="4"/>
  </r>
  <r>
    <d v="2026-01-08T00:00:00"/>
    <s v="Chicken"/>
    <x v="4"/>
    <s v="Essential"/>
    <n v="2"/>
    <s v="kg"/>
    <n v="280"/>
    <n v="30"/>
    <n v="25"/>
    <n v="505"/>
    <s v="Online"/>
    <s v="Credit Card"/>
    <n v="5"/>
  </r>
  <r>
    <d v="2026-01-09T00:00:00"/>
    <s v="Sugar"/>
    <x v="8"/>
    <s v="Essential"/>
    <n v="3"/>
    <s v="kg"/>
    <n v="50"/>
    <n v="0"/>
    <n v="0"/>
    <n v="150"/>
    <s v="In-Store"/>
    <s v="Cash"/>
    <n v="4"/>
  </r>
  <r>
    <d v="2026-01-10T00:00:00"/>
    <s v="Instant Coffee"/>
    <x v="9"/>
    <s v="Essential"/>
    <n v="1"/>
    <s v="jar"/>
    <n v="340"/>
    <n v="20"/>
    <n v="0"/>
    <n v="320"/>
    <s v="Online"/>
    <s v="UPI"/>
    <n v="5"/>
  </r>
  <r>
    <d v="2026-01-10T00:00:00"/>
    <s v="Frozen Pizza"/>
    <x v="10"/>
    <s v="Impulsive"/>
    <n v="2"/>
    <s v="pcs"/>
    <n v="250"/>
    <n v="60"/>
    <n v="20"/>
    <n v="420"/>
    <s v="Online"/>
    <s v="Credit Card"/>
    <n v="1"/>
  </r>
  <r>
    <d v="2026-01-12T00:00:00"/>
    <s v="Paneer"/>
    <x v="2"/>
    <s v="Essential"/>
    <n v="1"/>
    <s v="kg"/>
    <n v="490"/>
    <n v="45"/>
    <n v="0"/>
    <n v="445"/>
    <s v="Online"/>
    <s v="UPI"/>
    <n v="4"/>
  </r>
  <r>
    <d v="2026-01-13T00:00:00"/>
    <s v="Cold Drink"/>
    <x v="9"/>
    <s v="Impulsive"/>
    <n v="2.25"/>
    <s v="L"/>
    <n v="46.6"/>
    <n v="0"/>
    <n v="0"/>
    <n v="105"/>
    <s v="In-Store"/>
    <s v="UPI"/>
    <n v="3"/>
  </r>
  <r>
    <d v="2026-01-14T00:00:00"/>
    <s v="Gala Apples"/>
    <x v="6"/>
    <s v="Essential"/>
    <n v="2"/>
    <s v="kg"/>
    <n v="190"/>
    <n v="0"/>
    <n v="20"/>
    <n v="360"/>
    <s v="In-Store"/>
    <s v="Credit Card"/>
    <n v="5"/>
  </r>
  <r>
    <d v="2026-01-15T00:00:00"/>
    <s v="Scented Spray"/>
    <x v="7"/>
    <s v="Impulsive"/>
    <n v="1"/>
    <s v="can"/>
    <n v="275"/>
    <n v="0"/>
    <n v="15"/>
    <n v="260"/>
    <s v="In-Store"/>
    <s v="Credit Card"/>
    <n v="2"/>
  </r>
  <r>
    <d v="2026-01-16T00:00:00"/>
    <s v="Iodized Salt"/>
    <x v="8"/>
    <s v="Essential"/>
    <n v="1"/>
    <s v="kg"/>
    <n v="30"/>
    <n v="0"/>
    <n v="0"/>
    <n v="30"/>
    <s v="In-Store"/>
    <s v="Cash"/>
    <n v="5"/>
  </r>
  <r>
    <m/>
    <m/>
    <x v="11"/>
    <m/>
    <m/>
    <m/>
    <m/>
    <m/>
    <s v="total  expense"/>
    <n v="6353"/>
    <m/>
    <n v="5"/>
    <m/>
  </r>
  <r>
    <m/>
    <m/>
    <x v="11"/>
    <m/>
    <m/>
    <m/>
    <m/>
    <m/>
    <s v="average expense"/>
    <n v="317.64999999999998"/>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1886BA-1759-4AF0-B936-5F29AFD36D4F}"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9:B72" firstHeaderRow="1" firstDataRow="1" firstDataCol="1"/>
  <pivotFields count="13">
    <pivotField showAll="0"/>
    <pivotField showAll="0"/>
    <pivotField axis="axisRow" dataField="1" showAll="0">
      <items count="13">
        <item x="9"/>
        <item x="2"/>
        <item x="10"/>
        <item x="6"/>
        <item x="0"/>
        <item x="7"/>
        <item x="5"/>
        <item x="4"/>
        <item x="3"/>
        <item x="1"/>
        <item x="8"/>
        <item x="11"/>
        <item t="default"/>
      </items>
    </pivotField>
    <pivotField showAll="0"/>
    <pivotField showAll="0"/>
    <pivotField showAll="0"/>
    <pivotField showAll="0"/>
    <pivotField showAll="0"/>
    <pivotField showAll="0"/>
    <pivotField numFmtId="165" showAll="0"/>
    <pivotField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Count of Category"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175BB1-F85A-4C2A-A5C5-FD5D9143E30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B5" firstHeaderRow="1" firstDataRow="1" firstDataCol="1"/>
  <pivotFields count="13">
    <pivotField numFmtId="14" showAll="0"/>
    <pivotField dataField="1" showAll="0">
      <items count="21">
        <item x="0"/>
        <item x="8"/>
        <item x="11"/>
        <item x="16"/>
        <item x="4"/>
        <item x="10"/>
        <item x="5"/>
        <item x="9"/>
        <item x="14"/>
        <item x="17"/>
        <item x="13"/>
        <item x="19"/>
        <item x="2"/>
        <item x="3"/>
        <item x="6"/>
        <item x="15"/>
        <item x="1"/>
        <item x="18"/>
        <item x="7"/>
        <item x="12"/>
        <item t="default"/>
      </items>
    </pivotField>
    <pivotField showAll="0"/>
    <pivotField axis="axisRow" showAll="0">
      <items count="3">
        <item x="0"/>
        <item x="1"/>
        <item t="default"/>
      </items>
    </pivotField>
    <pivotField showAll="0"/>
    <pivotField showAll="0"/>
    <pivotField numFmtId="165" showAll="0"/>
    <pivotField numFmtId="165" showAll="0"/>
    <pivotField numFmtId="165" showAll="0"/>
    <pivotField numFmtId="165" showAll="0"/>
    <pivotField showAll="0"/>
    <pivotField showAll="0"/>
    <pivotField showAll="0"/>
  </pivotFields>
  <rowFields count="1">
    <field x="3"/>
  </rowFields>
  <rowItems count="3">
    <i>
      <x/>
    </i>
    <i>
      <x v="1"/>
    </i>
    <i t="grand">
      <x/>
    </i>
  </rowItems>
  <colItems count="1">
    <i/>
  </colItems>
  <dataFields count="1">
    <dataField name="Count of Item Name" fld="1" subtotal="count" baseField="0" baseItem="0"/>
  </dataFields>
  <chartFormats count="3">
    <chartFormat chart="12" format="10" series="1">
      <pivotArea type="data" outline="0" fieldPosition="0">
        <references count="1">
          <reference field="4294967294" count="1" selected="0">
            <x v="0"/>
          </reference>
        </references>
      </pivotArea>
    </chartFormat>
    <chartFormat chart="12" format="11">
      <pivotArea type="data" outline="0" fieldPosition="0">
        <references count="2">
          <reference field="4294967294" count="1" selected="0">
            <x v="0"/>
          </reference>
          <reference field="3" count="1" selected="0">
            <x v="0"/>
          </reference>
        </references>
      </pivotArea>
    </chartFormat>
    <chartFormat chart="12" format="1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0C3BD2-C0E9-4C7F-8A3B-C20B4485421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2:B44" firstHeaderRow="1" firstDataRow="1" firstDataCol="1"/>
  <pivotFields count="13">
    <pivotField numFmtId="14" showAll="0"/>
    <pivotField showAll="0">
      <items count="21">
        <item x="0"/>
        <item x="8"/>
        <item x="11"/>
        <item x="16"/>
        <item x="4"/>
        <item x="10"/>
        <item x="5"/>
        <item x="9"/>
        <item x="14"/>
        <item x="17"/>
        <item x="13"/>
        <item x="19"/>
        <item x="2"/>
        <item x="3"/>
        <item x="6"/>
        <item x="15"/>
        <item x="1"/>
        <item x="18"/>
        <item x="7"/>
        <item x="12"/>
        <item t="default"/>
      </items>
    </pivotField>
    <pivotField axis="axisRow" dataField="1" showAll="0">
      <items count="12">
        <item x="9"/>
        <item x="2"/>
        <item x="10"/>
        <item x="6"/>
        <item x="0"/>
        <item x="7"/>
        <item x="5"/>
        <item x="4"/>
        <item x="3"/>
        <item x="1"/>
        <item x="8"/>
        <item t="default"/>
      </items>
    </pivotField>
    <pivotField showAll="0"/>
    <pivotField showAll="0"/>
    <pivotField showAll="0"/>
    <pivotField numFmtId="165" showAll="0"/>
    <pivotField numFmtId="165" showAll="0"/>
    <pivotField numFmtId="165" showAll="0"/>
    <pivotField numFmtId="165" showAll="0"/>
    <pivotField showAll="0"/>
    <pivotField showAll="0"/>
    <pivotField showAll="0"/>
  </pivotFields>
  <rowFields count="1">
    <field x="2"/>
  </rowFields>
  <rowItems count="12">
    <i>
      <x/>
    </i>
    <i>
      <x v="1"/>
    </i>
    <i>
      <x v="2"/>
    </i>
    <i>
      <x v="3"/>
    </i>
    <i>
      <x v="4"/>
    </i>
    <i>
      <x v="5"/>
    </i>
    <i>
      <x v="6"/>
    </i>
    <i>
      <x v="7"/>
    </i>
    <i>
      <x v="8"/>
    </i>
    <i>
      <x v="9"/>
    </i>
    <i>
      <x v="10"/>
    </i>
    <i t="grand">
      <x/>
    </i>
  </rowItems>
  <colItems count="1">
    <i/>
  </colItems>
  <dataFields count="1">
    <dataField name="Count of Category" fld="2" subtotal="count" baseField="0" baseItem="0"/>
  </dataFields>
  <chartFormats count="25">
    <chartFormat chart="13"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4" format="2">
      <pivotArea type="data" outline="0" fieldPosition="0">
        <references count="2">
          <reference field="4294967294" count="1" selected="0">
            <x v="0"/>
          </reference>
          <reference field="2" count="1" selected="0">
            <x v="0"/>
          </reference>
        </references>
      </pivotArea>
    </chartFormat>
    <chartFormat chart="24" format="3">
      <pivotArea type="data" outline="0" fieldPosition="0">
        <references count="2">
          <reference field="4294967294" count="1" selected="0">
            <x v="0"/>
          </reference>
          <reference field="2" count="1" selected="0">
            <x v="1"/>
          </reference>
        </references>
      </pivotArea>
    </chartFormat>
    <chartFormat chart="24" format="4">
      <pivotArea type="data" outline="0" fieldPosition="0">
        <references count="2">
          <reference field="4294967294" count="1" selected="0">
            <x v="0"/>
          </reference>
          <reference field="2" count="1" selected="0">
            <x v="2"/>
          </reference>
        </references>
      </pivotArea>
    </chartFormat>
    <chartFormat chart="24" format="5">
      <pivotArea type="data" outline="0" fieldPosition="0">
        <references count="2">
          <reference field="4294967294" count="1" selected="0">
            <x v="0"/>
          </reference>
          <reference field="2" count="1" selected="0">
            <x v="3"/>
          </reference>
        </references>
      </pivotArea>
    </chartFormat>
    <chartFormat chart="24" format="6">
      <pivotArea type="data" outline="0" fieldPosition="0">
        <references count="2">
          <reference field="4294967294" count="1" selected="0">
            <x v="0"/>
          </reference>
          <reference field="2" count="1" selected="0">
            <x v="4"/>
          </reference>
        </references>
      </pivotArea>
    </chartFormat>
    <chartFormat chart="24" format="7">
      <pivotArea type="data" outline="0" fieldPosition="0">
        <references count="2">
          <reference field="4294967294" count="1" selected="0">
            <x v="0"/>
          </reference>
          <reference field="2" count="1" selected="0">
            <x v="5"/>
          </reference>
        </references>
      </pivotArea>
    </chartFormat>
    <chartFormat chart="24" format="8">
      <pivotArea type="data" outline="0" fieldPosition="0">
        <references count="2">
          <reference field="4294967294" count="1" selected="0">
            <x v="0"/>
          </reference>
          <reference field="2" count="1" selected="0">
            <x v="6"/>
          </reference>
        </references>
      </pivotArea>
    </chartFormat>
    <chartFormat chart="24" format="9">
      <pivotArea type="data" outline="0" fieldPosition="0">
        <references count="2">
          <reference field="4294967294" count="1" selected="0">
            <x v="0"/>
          </reference>
          <reference field="2" count="1" selected="0">
            <x v="7"/>
          </reference>
        </references>
      </pivotArea>
    </chartFormat>
    <chartFormat chart="24" format="10">
      <pivotArea type="data" outline="0" fieldPosition="0">
        <references count="2">
          <reference field="4294967294" count="1" selected="0">
            <x v="0"/>
          </reference>
          <reference field="2" count="1" selected="0">
            <x v="8"/>
          </reference>
        </references>
      </pivotArea>
    </chartFormat>
    <chartFormat chart="24" format="11">
      <pivotArea type="data" outline="0" fieldPosition="0">
        <references count="2">
          <reference field="4294967294" count="1" selected="0">
            <x v="0"/>
          </reference>
          <reference field="2" count="1" selected="0">
            <x v="9"/>
          </reference>
        </references>
      </pivotArea>
    </chartFormat>
    <chartFormat chart="24" format="12">
      <pivotArea type="data" outline="0" fieldPosition="0">
        <references count="2">
          <reference field="4294967294" count="1" selected="0">
            <x v="0"/>
          </reference>
          <reference field="2" count="1" selected="0">
            <x v="10"/>
          </reference>
        </references>
      </pivotArea>
    </chartFormat>
    <chartFormat chart="29" format="37" series="1">
      <pivotArea type="data" outline="0" fieldPosition="0">
        <references count="1">
          <reference field="4294967294" count="1" selected="0">
            <x v="0"/>
          </reference>
        </references>
      </pivotArea>
    </chartFormat>
    <chartFormat chart="29" format="38">
      <pivotArea type="data" outline="0" fieldPosition="0">
        <references count="2">
          <reference field="4294967294" count="1" selected="0">
            <x v="0"/>
          </reference>
          <reference field="2" count="1" selected="0">
            <x v="0"/>
          </reference>
        </references>
      </pivotArea>
    </chartFormat>
    <chartFormat chart="29" format="39">
      <pivotArea type="data" outline="0" fieldPosition="0">
        <references count="2">
          <reference field="4294967294" count="1" selected="0">
            <x v="0"/>
          </reference>
          <reference field="2" count="1" selected="0">
            <x v="1"/>
          </reference>
        </references>
      </pivotArea>
    </chartFormat>
    <chartFormat chart="29" format="40">
      <pivotArea type="data" outline="0" fieldPosition="0">
        <references count="2">
          <reference field="4294967294" count="1" selected="0">
            <x v="0"/>
          </reference>
          <reference field="2" count="1" selected="0">
            <x v="2"/>
          </reference>
        </references>
      </pivotArea>
    </chartFormat>
    <chartFormat chart="29" format="41">
      <pivotArea type="data" outline="0" fieldPosition="0">
        <references count="2">
          <reference field="4294967294" count="1" selected="0">
            <x v="0"/>
          </reference>
          <reference field="2" count="1" selected="0">
            <x v="3"/>
          </reference>
        </references>
      </pivotArea>
    </chartFormat>
    <chartFormat chart="29" format="42">
      <pivotArea type="data" outline="0" fieldPosition="0">
        <references count="2">
          <reference field="4294967294" count="1" selected="0">
            <x v="0"/>
          </reference>
          <reference field="2" count="1" selected="0">
            <x v="4"/>
          </reference>
        </references>
      </pivotArea>
    </chartFormat>
    <chartFormat chart="29" format="43">
      <pivotArea type="data" outline="0" fieldPosition="0">
        <references count="2">
          <reference field="4294967294" count="1" selected="0">
            <x v="0"/>
          </reference>
          <reference field="2" count="1" selected="0">
            <x v="5"/>
          </reference>
        </references>
      </pivotArea>
    </chartFormat>
    <chartFormat chart="29" format="44">
      <pivotArea type="data" outline="0" fieldPosition="0">
        <references count="2">
          <reference field="4294967294" count="1" selected="0">
            <x v="0"/>
          </reference>
          <reference field="2" count="1" selected="0">
            <x v="6"/>
          </reference>
        </references>
      </pivotArea>
    </chartFormat>
    <chartFormat chart="29" format="45">
      <pivotArea type="data" outline="0" fieldPosition="0">
        <references count="2">
          <reference field="4294967294" count="1" selected="0">
            <x v="0"/>
          </reference>
          <reference field="2" count="1" selected="0">
            <x v="7"/>
          </reference>
        </references>
      </pivotArea>
    </chartFormat>
    <chartFormat chart="29" format="46">
      <pivotArea type="data" outline="0" fieldPosition="0">
        <references count="2">
          <reference field="4294967294" count="1" selected="0">
            <x v="0"/>
          </reference>
          <reference field="2" count="1" selected="0">
            <x v="8"/>
          </reference>
        </references>
      </pivotArea>
    </chartFormat>
    <chartFormat chart="29" format="47">
      <pivotArea type="data" outline="0" fieldPosition="0">
        <references count="2">
          <reference field="4294967294" count="1" selected="0">
            <x v="0"/>
          </reference>
          <reference field="2" count="1" selected="0">
            <x v="9"/>
          </reference>
        </references>
      </pivotArea>
    </chartFormat>
    <chartFormat chart="29" format="48">
      <pivotArea type="data" outline="0" fieldPosition="0">
        <references count="2">
          <reference field="4294967294" count="1" selected="0">
            <x v="0"/>
          </reference>
          <reference field="2"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D93AA2-1F33-4579-896E-F681372ACCA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8:B30" firstHeaderRow="1" firstDataRow="1" firstDataCol="1"/>
  <pivotFields count="13">
    <pivotField numFmtId="14" showAll="0"/>
    <pivotField showAll="0">
      <items count="21">
        <item x="0"/>
        <item x="8"/>
        <item x="11"/>
        <item x="16"/>
        <item x="4"/>
        <item x="10"/>
        <item x="5"/>
        <item x="9"/>
        <item x="14"/>
        <item x="17"/>
        <item x="13"/>
        <item x="19"/>
        <item x="2"/>
        <item x="3"/>
        <item x="6"/>
        <item x="15"/>
        <item x="1"/>
        <item x="18"/>
        <item x="7"/>
        <item x="12"/>
        <item t="default"/>
      </items>
    </pivotField>
    <pivotField axis="axisRow" showAll="0">
      <items count="12">
        <item x="9"/>
        <item x="2"/>
        <item x="10"/>
        <item x="6"/>
        <item x="0"/>
        <item x="7"/>
        <item x="5"/>
        <item x="4"/>
        <item x="3"/>
        <item x="1"/>
        <item x="8"/>
        <item t="default"/>
      </items>
    </pivotField>
    <pivotField showAll="0"/>
    <pivotField showAll="0"/>
    <pivotField showAll="0"/>
    <pivotField numFmtId="165" showAll="0"/>
    <pivotField numFmtId="165" showAll="0"/>
    <pivotField numFmtId="165" showAll="0"/>
    <pivotField numFmtId="165" showAll="0"/>
    <pivotField showAll="0"/>
    <pivotField showAll="0"/>
    <pivotField dataField="1" showAll="0"/>
  </pivotFields>
  <rowFields count="1">
    <field x="2"/>
  </rowFields>
  <rowItems count="12">
    <i>
      <x/>
    </i>
    <i>
      <x v="1"/>
    </i>
    <i>
      <x v="2"/>
    </i>
    <i>
      <x v="3"/>
    </i>
    <i>
      <x v="4"/>
    </i>
    <i>
      <x v="5"/>
    </i>
    <i>
      <x v="6"/>
    </i>
    <i>
      <x v="7"/>
    </i>
    <i>
      <x v="8"/>
    </i>
    <i>
      <x v="9"/>
    </i>
    <i>
      <x v="10"/>
    </i>
    <i t="grand">
      <x/>
    </i>
  </rowItems>
  <colItems count="1">
    <i/>
  </colItems>
  <dataFields count="1">
    <dataField name="Sum of Rating" fld="12" baseField="0" baseItem="0"/>
  </dataFields>
  <chartFormats count="2">
    <chartFormat chart="9"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A1F8BC-61AF-455E-B376-9460640FFCE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12:B16" firstHeaderRow="1" firstDataRow="1" firstDataCol="1"/>
  <pivotFields count="13">
    <pivotField numFmtId="14" showAll="0"/>
    <pivotField showAll="0">
      <items count="21">
        <item x="0"/>
        <item x="8"/>
        <item x="11"/>
        <item x="16"/>
        <item x="4"/>
        <item x="10"/>
        <item x="5"/>
        <item x="9"/>
        <item x="14"/>
        <item x="17"/>
        <item x="13"/>
        <item x="19"/>
        <item x="2"/>
        <item x="3"/>
        <item x="6"/>
        <item x="15"/>
        <item x="1"/>
        <item x="18"/>
        <item x="7"/>
        <item x="12"/>
        <item t="default"/>
      </items>
    </pivotField>
    <pivotField showAll="0"/>
    <pivotField showAll="0"/>
    <pivotField showAll="0"/>
    <pivotField showAll="0"/>
    <pivotField numFmtId="165" showAll="0"/>
    <pivotField numFmtId="165" showAll="0"/>
    <pivotField numFmtId="165" showAll="0"/>
    <pivotField numFmtId="165" showAll="0"/>
    <pivotField showAll="0">
      <items count="3">
        <item x="0"/>
        <item x="1"/>
        <item t="default"/>
      </items>
    </pivotField>
    <pivotField axis="axisRow" dataField="1" showAll="0">
      <items count="4">
        <item x="2"/>
        <item x="0"/>
        <item x="1"/>
        <item t="default"/>
      </items>
    </pivotField>
    <pivotField showAll="0"/>
  </pivotFields>
  <rowFields count="1">
    <field x="11"/>
  </rowFields>
  <rowItems count="4">
    <i>
      <x/>
    </i>
    <i>
      <x v="1"/>
    </i>
    <i>
      <x v="2"/>
    </i>
    <i t="grand">
      <x/>
    </i>
  </rowItems>
  <colItems count="1">
    <i/>
  </colItems>
  <dataFields count="1">
    <dataField name="Count of Payment" fld="11" subtotal="count" baseField="0" baseItem="0"/>
  </dataFields>
  <chartFormats count="2">
    <chartFormat chart="16" format="1"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F62CD0-25CC-44D4-B50A-91B7E4E447A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7:B10" firstHeaderRow="1" firstDataRow="1" firstDataCol="1"/>
  <pivotFields count="13">
    <pivotField numFmtId="14" showAll="0"/>
    <pivotField showAll="0">
      <items count="21">
        <item x="0"/>
        <item x="8"/>
        <item x="11"/>
        <item x="16"/>
        <item x="4"/>
        <item x="10"/>
        <item x="5"/>
        <item x="9"/>
        <item x="14"/>
        <item x="17"/>
        <item x="13"/>
        <item x="19"/>
        <item x="2"/>
        <item x="3"/>
        <item x="6"/>
        <item x="15"/>
        <item x="1"/>
        <item x="18"/>
        <item x="7"/>
        <item x="12"/>
        <item t="default"/>
      </items>
    </pivotField>
    <pivotField showAll="0"/>
    <pivotField showAll="0"/>
    <pivotField showAll="0"/>
    <pivotField showAll="0"/>
    <pivotField numFmtId="165" showAll="0"/>
    <pivotField numFmtId="165" showAll="0"/>
    <pivotField numFmtId="165" showAll="0"/>
    <pivotField numFmtId="165" showAll="0"/>
    <pivotField axis="axisRow" dataField="1" showAll="0">
      <items count="3">
        <item x="0"/>
        <item x="1"/>
        <item t="default"/>
      </items>
    </pivotField>
    <pivotField showAll="0"/>
    <pivotField showAll="0"/>
  </pivotFields>
  <rowFields count="1">
    <field x="10"/>
  </rowFields>
  <rowItems count="3">
    <i>
      <x/>
    </i>
    <i>
      <x v="1"/>
    </i>
    <i t="grand">
      <x/>
    </i>
  </rowItems>
  <colItems count="1">
    <i/>
  </colItems>
  <dataFields count="1">
    <dataField name="Count of Purchase Mode" fld="10" subtotal="count" baseField="0" baseItem="0"/>
  </dataFields>
  <chartFormats count="2">
    <chartFormat chart="21" format="3"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Name" xr10:uid="{E8B5FC9C-3D96-4BB1-930D-03871FEBBE6F}" sourceName="Item Name">
  <pivotTables>
    <pivotTable tabId="2" name="PivotTable7"/>
    <pivotTable tabId="2" name="PivotTable2"/>
    <pivotTable tabId="2" name="PivotTable3"/>
    <pivotTable tabId="2" name="PivotTable4"/>
    <pivotTable tabId="2" name="PivotTable5"/>
  </pivotTables>
  <data>
    <tabular pivotCacheId="476404329">
      <items count="20">
        <i x="0" s="1"/>
        <i x="8" s="1"/>
        <i x="11" s="1"/>
        <i x="16" s="1"/>
        <i x="4" s="1"/>
        <i x="10" s="1"/>
        <i x="5" s="1"/>
        <i x="9" s="1"/>
        <i x="14" s="1"/>
        <i x="17" s="1"/>
        <i x="13" s="1"/>
        <i x="19" s="1"/>
        <i x="2" s="1"/>
        <i x="3" s="1"/>
        <i x="6" s="1"/>
        <i x="15" s="1"/>
        <i x="1" s="1"/>
        <i x="18" s="1"/>
        <i x="7" s="1"/>
        <i x="1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90B31AB-1E21-44ED-8D88-15D5982A2677}" sourceName="Category">
  <pivotTables>
    <pivotTable tabId="2" name="PivotTable1"/>
  </pivotTables>
  <data>
    <tabular pivotCacheId="79448183">
      <items count="12">
        <i x="9" s="1"/>
        <i x="2" s="1"/>
        <i x="10" s="1"/>
        <i x="6" s="1"/>
        <i x="0" s="1"/>
        <i x="7" s="1"/>
        <i x="5" s="1"/>
        <i x="4" s="1"/>
        <i x="3" s="1"/>
        <i x="1" s="1"/>
        <i x="8" s="1"/>
        <i x="11"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s" xr10:uid="{3C4B1ECD-C14C-41BA-9CA1-E0677C5F388E}" cache="Slicer_Item_Name" caption="Items" columnCount="4" rowHeight="396000"/>
  <slicer name="Category" xr10:uid="{07AF6F76-B383-48B3-A154-A871814A6BFF}" cache="Slicer_Category" caption="Category" columnCount="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0ABBE7-41D2-4762-964B-91B2EE763CFA}" name="Table1" displayName="Table1" ref="A1:M23" totalsRowShown="0" headerRowDxfId="7" headerRowBorderDxfId="21" tableBorderDxfId="22">
  <autoFilter ref="A1:M23" xr:uid="{FCF583B8-F226-4D55-BE10-CD191E1A97ED}"/>
  <tableColumns count="13">
    <tableColumn id="1" xr3:uid="{87ED4063-ED4B-4A89-B104-3082F5C28C9D}" name="Date" dataDxfId="20"/>
    <tableColumn id="2" xr3:uid="{A757D56E-FF9B-46BF-871B-02D3D4C7410A}" name="Item Name" dataDxfId="19"/>
    <tableColumn id="3" xr3:uid="{7650CC59-2779-465B-A6CF-E74A77AED742}" name="Category" dataDxfId="18"/>
    <tableColumn id="4" xr3:uid="{3CE64A3D-D8C2-4B77-A4B2-A1AC56E1632D}" name="Type" dataDxfId="17"/>
    <tableColumn id="5" xr3:uid="{0FC8B2A7-2A42-42EC-A1A6-42D0A6BAFBCB}" name="Qty" dataDxfId="16"/>
    <tableColumn id="6" xr3:uid="{E21141FC-AD6B-460D-A1AD-90DE4D42978B}" name="UOM" dataDxfId="15"/>
    <tableColumn id="7" xr3:uid="{6837C49D-EC68-4AED-91CA-539D3134F328}" name="Price (₹)" dataDxfId="14"/>
    <tableColumn id="8" xr3:uid="{D23837A9-B1CA-447E-8CCD-35F969353BF4}" name="Online Disc. (₹)" dataDxfId="13"/>
    <tableColumn id="9" xr3:uid="{7FAAEFC2-20DD-4C5E-85A1-B24F56120046}" name="CC Disc. (₹)" dataDxfId="12"/>
    <tableColumn id="10" xr3:uid="{8795A547-2E68-448F-B0DC-5AB7529AB5CD}" name="Final Total (₹)" dataDxfId="11"/>
    <tableColumn id="11" xr3:uid="{7F8DE6E7-2E74-4844-A625-02F3AE369D12}" name="Purchase Mode" dataDxfId="10"/>
    <tableColumn id="12" xr3:uid="{CEE6FE8D-285E-450D-BDE8-1BFED4969D08}" name="Payment" dataDxfId="9"/>
    <tableColumn id="13" xr3:uid="{04CBCB9F-CE65-4A46-9576-49B5ED9A2DF7}" name="Rating" dataDxfId="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583B8-F226-4D55-BE10-CD191E1A97ED}">
  <dimension ref="A1:Q23"/>
  <sheetViews>
    <sheetView zoomScale="95" workbookViewId="0">
      <selection activeCell="B4" sqref="B4"/>
    </sheetView>
  </sheetViews>
  <sheetFormatPr defaultRowHeight="14.4" x14ac:dyDescent="0.3"/>
  <cols>
    <col min="1" max="1" width="10.6640625" bestFit="1" customWidth="1"/>
    <col min="2" max="2" width="13.44140625" bestFit="1" customWidth="1"/>
    <col min="3" max="3" width="10.44140625" customWidth="1"/>
    <col min="4" max="4" width="8.5546875" bestFit="1" customWidth="1"/>
    <col min="5" max="5" width="6.109375" customWidth="1"/>
    <col min="6" max="6" width="7.44140625" customWidth="1"/>
    <col min="7" max="7" width="10.5546875" customWidth="1"/>
    <col min="8" max="8" width="17.109375" customWidth="1"/>
    <col min="9" max="9" width="14.44140625" bestFit="1" customWidth="1"/>
    <col min="10" max="10" width="15.21875" customWidth="1"/>
    <col min="11" max="11" width="17" customWidth="1"/>
    <col min="12" max="12" width="10.88671875" customWidth="1"/>
    <col min="13" max="13" width="8.77734375" style="1" customWidth="1"/>
    <col min="14" max="14" width="19.6640625" style="1" customWidth="1"/>
    <col min="15" max="15" width="8.88671875" customWidth="1"/>
    <col min="16" max="16" width="22" customWidth="1"/>
    <col min="17" max="17" width="52.5546875" style="2" customWidth="1"/>
  </cols>
  <sheetData>
    <row r="1" spans="1:13" ht="15.6" x14ac:dyDescent="0.3">
      <c r="A1" s="10" t="s">
        <v>2</v>
      </c>
      <c r="B1" s="10" t="s">
        <v>3</v>
      </c>
      <c r="C1" s="10" t="s">
        <v>4</v>
      </c>
      <c r="D1" s="10" t="s">
        <v>5</v>
      </c>
      <c r="E1" s="11" t="s">
        <v>6</v>
      </c>
      <c r="F1" s="11" t="s">
        <v>31</v>
      </c>
      <c r="G1" s="11" t="s">
        <v>22</v>
      </c>
      <c r="H1" s="11" t="s">
        <v>58</v>
      </c>
      <c r="I1" s="11" t="s">
        <v>59</v>
      </c>
      <c r="J1" s="11" t="s">
        <v>60</v>
      </c>
      <c r="K1" s="11" t="s">
        <v>54</v>
      </c>
      <c r="L1" s="11" t="s">
        <v>36</v>
      </c>
      <c r="M1" s="11" t="s">
        <v>23</v>
      </c>
    </row>
    <row r="2" spans="1:13" x14ac:dyDescent="0.3">
      <c r="A2" s="7">
        <v>46023</v>
      </c>
      <c r="B2" s="6" t="s">
        <v>37</v>
      </c>
      <c r="C2" s="6" t="s">
        <v>7</v>
      </c>
      <c r="D2" s="6" t="s">
        <v>55</v>
      </c>
      <c r="E2" s="6">
        <v>5</v>
      </c>
      <c r="F2" s="6" t="s">
        <v>33</v>
      </c>
      <c r="G2" s="8">
        <v>110</v>
      </c>
      <c r="H2" s="8">
        <v>0</v>
      </c>
      <c r="I2" s="8">
        <v>25</v>
      </c>
      <c r="J2" s="8">
        <v>525</v>
      </c>
      <c r="K2" s="6" t="s">
        <v>56</v>
      </c>
      <c r="L2" s="6" t="s">
        <v>28</v>
      </c>
      <c r="M2" s="6">
        <v>5</v>
      </c>
    </row>
    <row r="3" spans="1:13" x14ac:dyDescent="0.3">
      <c r="A3" s="7">
        <v>46023</v>
      </c>
      <c r="B3" s="6" t="s">
        <v>24</v>
      </c>
      <c r="C3" s="6" t="s">
        <v>8</v>
      </c>
      <c r="D3" s="6" t="s">
        <v>9</v>
      </c>
      <c r="E3" s="6">
        <v>2</v>
      </c>
      <c r="F3" s="6" t="s">
        <v>35</v>
      </c>
      <c r="G3" s="8">
        <v>95</v>
      </c>
      <c r="H3" s="8">
        <v>0</v>
      </c>
      <c r="I3" s="8">
        <v>10</v>
      </c>
      <c r="J3" s="8">
        <v>180</v>
      </c>
      <c r="K3" s="6" t="s">
        <v>56</v>
      </c>
      <c r="L3" s="6" t="s">
        <v>28</v>
      </c>
      <c r="M3" s="6">
        <v>3</v>
      </c>
    </row>
    <row r="4" spans="1:13" x14ac:dyDescent="0.3">
      <c r="A4" s="7">
        <v>46024</v>
      </c>
      <c r="B4" s="6" t="s">
        <v>38</v>
      </c>
      <c r="C4" s="6" t="s">
        <v>10</v>
      </c>
      <c r="D4" s="6" t="s">
        <v>55</v>
      </c>
      <c r="E4" s="6">
        <v>12</v>
      </c>
      <c r="F4" s="6" t="s">
        <v>32</v>
      </c>
      <c r="G4" s="8">
        <v>74</v>
      </c>
      <c r="H4" s="8">
        <v>50</v>
      </c>
      <c r="I4" s="8">
        <v>0</v>
      </c>
      <c r="J4" s="8">
        <v>838</v>
      </c>
      <c r="K4" s="6" t="s">
        <v>57</v>
      </c>
      <c r="L4" s="6" t="s">
        <v>30</v>
      </c>
      <c r="M4" s="6">
        <v>5</v>
      </c>
    </row>
    <row r="5" spans="1:13" x14ac:dyDescent="0.3">
      <c r="A5" s="7">
        <v>46025</v>
      </c>
      <c r="B5" s="6" t="s">
        <v>39</v>
      </c>
      <c r="C5" s="6" t="s">
        <v>11</v>
      </c>
      <c r="D5" s="6" t="s">
        <v>55</v>
      </c>
      <c r="E5" s="6">
        <v>2</v>
      </c>
      <c r="F5" s="6" t="s">
        <v>33</v>
      </c>
      <c r="G5" s="8">
        <v>160</v>
      </c>
      <c r="H5" s="8">
        <v>0</v>
      </c>
      <c r="I5" s="8">
        <v>0</v>
      </c>
      <c r="J5" s="8">
        <v>320</v>
      </c>
      <c r="K5" s="6" t="s">
        <v>56</v>
      </c>
      <c r="L5" s="6" t="s">
        <v>29</v>
      </c>
      <c r="M5" s="6">
        <v>4</v>
      </c>
    </row>
    <row r="6" spans="1:13" x14ac:dyDescent="0.3">
      <c r="A6" s="7">
        <v>46025</v>
      </c>
      <c r="B6" s="6" t="s">
        <v>25</v>
      </c>
      <c r="C6" s="6" t="s">
        <v>8</v>
      </c>
      <c r="D6" s="6" t="s">
        <v>9</v>
      </c>
      <c r="E6" s="6">
        <v>1</v>
      </c>
      <c r="F6" s="6" t="s">
        <v>40</v>
      </c>
      <c r="G6" s="8">
        <v>220</v>
      </c>
      <c r="H6" s="8">
        <v>0</v>
      </c>
      <c r="I6" s="8">
        <v>0</v>
      </c>
      <c r="J6" s="8">
        <v>220</v>
      </c>
      <c r="K6" s="6" t="s">
        <v>56</v>
      </c>
      <c r="L6" s="6" t="s">
        <v>29</v>
      </c>
      <c r="M6" s="6">
        <v>5</v>
      </c>
    </row>
    <row r="7" spans="1:13" x14ac:dyDescent="0.3">
      <c r="A7" s="7">
        <v>46026</v>
      </c>
      <c r="B7" s="6" t="s">
        <v>41</v>
      </c>
      <c r="C7" s="6" t="s">
        <v>12</v>
      </c>
      <c r="D7" s="6" t="s">
        <v>55</v>
      </c>
      <c r="E7" s="6">
        <v>30</v>
      </c>
      <c r="F7" s="6" t="s">
        <v>42</v>
      </c>
      <c r="G7" s="8">
        <v>7</v>
      </c>
      <c r="H7" s="8">
        <v>15</v>
      </c>
      <c r="I7" s="8">
        <v>10</v>
      </c>
      <c r="J7" s="8">
        <v>185</v>
      </c>
      <c r="K7" s="6" t="s">
        <v>57</v>
      </c>
      <c r="L7" s="6" t="s">
        <v>28</v>
      </c>
      <c r="M7" s="6">
        <v>4</v>
      </c>
    </row>
    <row r="8" spans="1:13" x14ac:dyDescent="0.3">
      <c r="A8" s="7">
        <v>46027</v>
      </c>
      <c r="B8" s="6" t="s">
        <v>43</v>
      </c>
      <c r="C8" s="6" t="s">
        <v>13</v>
      </c>
      <c r="D8" s="6" t="s">
        <v>55</v>
      </c>
      <c r="E8" s="6">
        <v>5</v>
      </c>
      <c r="F8" s="6" t="s">
        <v>33</v>
      </c>
      <c r="G8" s="8">
        <v>48</v>
      </c>
      <c r="H8" s="8">
        <v>0</v>
      </c>
      <c r="I8" s="8">
        <v>0</v>
      </c>
      <c r="J8" s="8">
        <v>240</v>
      </c>
      <c r="K8" s="6" t="s">
        <v>56</v>
      </c>
      <c r="L8" s="6" t="s">
        <v>29</v>
      </c>
      <c r="M8" s="6">
        <v>5</v>
      </c>
    </row>
    <row r="9" spans="1:13" x14ac:dyDescent="0.3">
      <c r="A9" s="7">
        <v>46027</v>
      </c>
      <c r="B9" s="6" t="s">
        <v>34</v>
      </c>
      <c r="C9" s="6" t="s">
        <v>14</v>
      </c>
      <c r="D9" s="6" t="s">
        <v>9</v>
      </c>
      <c r="E9" s="6">
        <v>2</v>
      </c>
      <c r="F9" s="6" t="s">
        <v>44</v>
      </c>
      <c r="G9" s="8">
        <v>150</v>
      </c>
      <c r="H9" s="8">
        <v>0</v>
      </c>
      <c r="I9" s="8">
        <v>0</v>
      </c>
      <c r="J9" s="8">
        <v>300</v>
      </c>
      <c r="K9" s="6" t="s">
        <v>56</v>
      </c>
      <c r="L9" s="6" t="s">
        <v>30</v>
      </c>
      <c r="M9" s="6">
        <v>2</v>
      </c>
    </row>
    <row r="10" spans="1:13" x14ac:dyDescent="0.3">
      <c r="A10" s="7">
        <v>46028</v>
      </c>
      <c r="B10" s="6" t="s">
        <v>45</v>
      </c>
      <c r="C10" s="6" t="s">
        <v>7</v>
      </c>
      <c r="D10" s="6" t="s">
        <v>55</v>
      </c>
      <c r="E10" s="6">
        <v>10</v>
      </c>
      <c r="F10" s="6" t="s">
        <v>33</v>
      </c>
      <c r="G10" s="8">
        <v>49.5</v>
      </c>
      <c r="H10" s="8">
        <v>40</v>
      </c>
      <c r="I10" s="8">
        <v>20</v>
      </c>
      <c r="J10" s="8">
        <v>435</v>
      </c>
      <c r="K10" s="6" t="s">
        <v>57</v>
      </c>
      <c r="L10" s="6" t="s">
        <v>28</v>
      </c>
      <c r="M10" s="6">
        <v>5</v>
      </c>
    </row>
    <row r="11" spans="1:13" x14ac:dyDescent="0.3">
      <c r="A11" s="7">
        <v>46029</v>
      </c>
      <c r="B11" s="6" t="s">
        <v>15</v>
      </c>
      <c r="C11" s="6" t="s">
        <v>16</v>
      </c>
      <c r="D11" s="6" t="s">
        <v>9</v>
      </c>
      <c r="E11" s="6">
        <v>1</v>
      </c>
      <c r="F11" s="6" t="s">
        <v>32</v>
      </c>
      <c r="G11" s="8">
        <v>380</v>
      </c>
      <c r="H11" s="8">
        <v>0</v>
      </c>
      <c r="I11" s="8">
        <v>15</v>
      </c>
      <c r="J11" s="8">
        <v>365</v>
      </c>
      <c r="K11" s="6" t="s">
        <v>56</v>
      </c>
      <c r="L11" s="6" t="s">
        <v>28</v>
      </c>
      <c r="M11" s="6">
        <v>4</v>
      </c>
    </row>
    <row r="12" spans="1:13" x14ac:dyDescent="0.3">
      <c r="A12" s="7">
        <v>46029</v>
      </c>
      <c r="B12" s="6" t="s">
        <v>17</v>
      </c>
      <c r="C12" s="6" t="s">
        <v>16</v>
      </c>
      <c r="D12" s="6" t="s">
        <v>55</v>
      </c>
      <c r="E12" s="6">
        <v>4</v>
      </c>
      <c r="F12" s="6" t="s">
        <v>42</v>
      </c>
      <c r="G12" s="8">
        <v>40</v>
      </c>
      <c r="H12" s="8">
        <v>0</v>
      </c>
      <c r="I12" s="8">
        <v>10</v>
      </c>
      <c r="J12" s="8">
        <v>150</v>
      </c>
      <c r="K12" s="6" t="s">
        <v>56</v>
      </c>
      <c r="L12" s="6" t="s">
        <v>28</v>
      </c>
      <c r="M12" s="6">
        <v>4</v>
      </c>
    </row>
    <row r="13" spans="1:13" x14ac:dyDescent="0.3">
      <c r="A13" s="7">
        <v>46030</v>
      </c>
      <c r="B13" s="6" t="s">
        <v>46</v>
      </c>
      <c r="C13" s="6" t="s">
        <v>12</v>
      </c>
      <c r="D13" s="6" t="s">
        <v>55</v>
      </c>
      <c r="E13" s="6">
        <v>2</v>
      </c>
      <c r="F13" s="6" t="s">
        <v>33</v>
      </c>
      <c r="G13" s="8">
        <v>280</v>
      </c>
      <c r="H13" s="8">
        <v>30</v>
      </c>
      <c r="I13" s="8">
        <v>25</v>
      </c>
      <c r="J13" s="8">
        <v>505</v>
      </c>
      <c r="K13" s="6" t="s">
        <v>57</v>
      </c>
      <c r="L13" s="6" t="s">
        <v>28</v>
      </c>
      <c r="M13" s="6">
        <v>5</v>
      </c>
    </row>
    <row r="14" spans="1:13" x14ac:dyDescent="0.3">
      <c r="A14" s="7">
        <v>46031</v>
      </c>
      <c r="B14" s="6" t="s">
        <v>47</v>
      </c>
      <c r="C14" s="6" t="s">
        <v>18</v>
      </c>
      <c r="D14" s="6" t="s">
        <v>55</v>
      </c>
      <c r="E14" s="6">
        <v>3</v>
      </c>
      <c r="F14" s="6" t="s">
        <v>33</v>
      </c>
      <c r="G14" s="8">
        <v>50</v>
      </c>
      <c r="H14" s="8">
        <v>0</v>
      </c>
      <c r="I14" s="8">
        <v>0</v>
      </c>
      <c r="J14" s="8">
        <v>150</v>
      </c>
      <c r="K14" s="6" t="s">
        <v>56</v>
      </c>
      <c r="L14" s="6" t="s">
        <v>29</v>
      </c>
      <c r="M14" s="6">
        <v>4</v>
      </c>
    </row>
    <row r="15" spans="1:13" x14ac:dyDescent="0.3">
      <c r="A15" s="7">
        <v>46032</v>
      </c>
      <c r="B15" s="6" t="s">
        <v>26</v>
      </c>
      <c r="C15" s="6" t="s">
        <v>19</v>
      </c>
      <c r="D15" s="6" t="s">
        <v>55</v>
      </c>
      <c r="E15" s="6">
        <v>1</v>
      </c>
      <c r="F15" s="6" t="s">
        <v>48</v>
      </c>
      <c r="G15" s="8">
        <v>340</v>
      </c>
      <c r="H15" s="8">
        <v>20</v>
      </c>
      <c r="I15" s="8">
        <v>0</v>
      </c>
      <c r="J15" s="8">
        <v>320</v>
      </c>
      <c r="K15" s="6" t="s">
        <v>57</v>
      </c>
      <c r="L15" s="6" t="s">
        <v>30</v>
      </c>
      <c r="M15" s="6">
        <v>5</v>
      </c>
    </row>
    <row r="16" spans="1:13" x14ac:dyDescent="0.3">
      <c r="A16" s="7">
        <v>46032</v>
      </c>
      <c r="B16" s="6" t="s">
        <v>20</v>
      </c>
      <c r="C16" s="6" t="s">
        <v>21</v>
      </c>
      <c r="D16" s="6" t="s">
        <v>9</v>
      </c>
      <c r="E16" s="6">
        <v>2</v>
      </c>
      <c r="F16" s="6" t="s">
        <v>42</v>
      </c>
      <c r="G16" s="8">
        <v>250</v>
      </c>
      <c r="H16" s="8">
        <v>60</v>
      </c>
      <c r="I16" s="8">
        <v>20</v>
      </c>
      <c r="J16" s="8">
        <v>420</v>
      </c>
      <c r="K16" s="6" t="s">
        <v>57</v>
      </c>
      <c r="L16" s="6" t="s">
        <v>28</v>
      </c>
      <c r="M16" s="6">
        <v>1</v>
      </c>
    </row>
    <row r="17" spans="1:13" x14ac:dyDescent="0.3">
      <c r="A17" s="7">
        <v>46034</v>
      </c>
      <c r="B17" s="6" t="s">
        <v>49</v>
      </c>
      <c r="C17" s="6" t="s">
        <v>10</v>
      </c>
      <c r="D17" s="6" t="s">
        <v>55</v>
      </c>
      <c r="E17" s="6">
        <v>1</v>
      </c>
      <c r="F17" s="6" t="s">
        <v>33</v>
      </c>
      <c r="G17" s="8">
        <v>490</v>
      </c>
      <c r="H17" s="8">
        <v>45</v>
      </c>
      <c r="I17" s="8">
        <v>0</v>
      </c>
      <c r="J17" s="8">
        <v>445</v>
      </c>
      <c r="K17" s="6" t="s">
        <v>57</v>
      </c>
      <c r="L17" s="6" t="s">
        <v>30</v>
      </c>
      <c r="M17" s="6">
        <v>4</v>
      </c>
    </row>
    <row r="18" spans="1:13" x14ac:dyDescent="0.3">
      <c r="A18" s="7">
        <v>46035</v>
      </c>
      <c r="B18" s="6" t="s">
        <v>50</v>
      </c>
      <c r="C18" s="6" t="s">
        <v>19</v>
      </c>
      <c r="D18" s="6" t="s">
        <v>9</v>
      </c>
      <c r="E18" s="6">
        <v>2.25</v>
      </c>
      <c r="F18" s="6" t="s">
        <v>32</v>
      </c>
      <c r="G18" s="8">
        <v>46.6</v>
      </c>
      <c r="H18" s="8">
        <v>0</v>
      </c>
      <c r="I18" s="8">
        <v>0</v>
      </c>
      <c r="J18" s="8">
        <v>105</v>
      </c>
      <c r="K18" s="6" t="s">
        <v>56</v>
      </c>
      <c r="L18" s="6" t="s">
        <v>30</v>
      </c>
      <c r="M18" s="6">
        <v>3</v>
      </c>
    </row>
    <row r="19" spans="1:13" x14ac:dyDescent="0.3">
      <c r="A19" s="7">
        <v>46036</v>
      </c>
      <c r="B19" s="6" t="s">
        <v>51</v>
      </c>
      <c r="C19" s="6" t="s">
        <v>14</v>
      </c>
      <c r="D19" s="6" t="s">
        <v>55</v>
      </c>
      <c r="E19" s="6">
        <v>2</v>
      </c>
      <c r="F19" s="6" t="s">
        <v>33</v>
      </c>
      <c r="G19" s="8">
        <v>190</v>
      </c>
      <c r="H19" s="8">
        <v>0</v>
      </c>
      <c r="I19" s="8">
        <v>20</v>
      </c>
      <c r="J19" s="8">
        <v>360</v>
      </c>
      <c r="K19" s="6" t="s">
        <v>56</v>
      </c>
      <c r="L19" s="6" t="s">
        <v>28</v>
      </c>
      <c r="M19" s="6">
        <v>5</v>
      </c>
    </row>
    <row r="20" spans="1:13" x14ac:dyDescent="0.3">
      <c r="A20" s="7">
        <v>46037</v>
      </c>
      <c r="B20" s="6" t="s">
        <v>27</v>
      </c>
      <c r="C20" s="6" t="s">
        <v>16</v>
      </c>
      <c r="D20" s="6" t="s">
        <v>9</v>
      </c>
      <c r="E20" s="6">
        <v>1</v>
      </c>
      <c r="F20" s="6" t="s">
        <v>52</v>
      </c>
      <c r="G20" s="8">
        <v>275</v>
      </c>
      <c r="H20" s="8">
        <v>0</v>
      </c>
      <c r="I20" s="8">
        <v>15</v>
      </c>
      <c r="J20" s="8">
        <v>260</v>
      </c>
      <c r="K20" s="6" t="s">
        <v>56</v>
      </c>
      <c r="L20" s="6" t="s">
        <v>28</v>
      </c>
      <c r="M20" s="6">
        <v>2</v>
      </c>
    </row>
    <row r="21" spans="1:13" x14ac:dyDescent="0.3">
      <c r="A21" s="7">
        <v>46038</v>
      </c>
      <c r="B21" s="6" t="s">
        <v>53</v>
      </c>
      <c r="C21" s="6" t="s">
        <v>18</v>
      </c>
      <c r="D21" s="6" t="s">
        <v>55</v>
      </c>
      <c r="E21" s="6">
        <v>1</v>
      </c>
      <c r="F21" s="6" t="s">
        <v>33</v>
      </c>
      <c r="G21" s="8">
        <v>30</v>
      </c>
      <c r="H21" s="8">
        <v>0</v>
      </c>
      <c r="I21" s="8">
        <v>0</v>
      </c>
      <c r="J21" s="8">
        <v>30</v>
      </c>
      <c r="K21" s="6" t="s">
        <v>56</v>
      </c>
      <c r="L21" s="6" t="s">
        <v>29</v>
      </c>
      <c r="M21" s="6">
        <v>5</v>
      </c>
    </row>
    <row r="22" spans="1:13" x14ac:dyDescent="0.3">
      <c r="I22" t="s">
        <v>62</v>
      </c>
      <c r="J22" s="5">
        <f>SUM(J2:J21)</f>
        <v>6353</v>
      </c>
      <c r="L22">
        <f>COUNTIF(L2:L21,"UPI")</f>
        <v>5</v>
      </c>
    </row>
    <row r="23" spans="1:13" x14ac:dyDescent="0.3">
      <c r="I23" t="s">
        <v>61</v>
      </c>
      <c r="J23" s="5">
        <f>AVERAGE(J2:J21)</f>
        <v>317.64999999999998</v>
      </c>
    </row>
  </sheetData>
  <phoneticPr fontId="2" type="noConversion"/>
  <conditionalFormatting sqref="D2:D21">
    <cfRule type="cellIs" dxfId="6" priority="7" operator="equal">
      <formula>$D$3</formula>
    </cfRule>
    <cfRule type="cellIs" dxfId="5" priority="8" operator="equal">
      <formula>"Implusive"</formula>
    </cfRule>
  </conditionalFormatting>
  <conditionalFormatting sqref="J2:J21">
    <cfRule type="cellIs" dxfId="4" priority="1" operator="greaterThan">
      <formula>318</formula>
    </cfRule>
  </conditionalFormatting>
  <conditionalFormatting sqref="K2:K21">
    <cfRule type="cellIs" dxfId="3" priority="4" operator="equal">
      <formula>$K$2</formula>
    </cfRule>
    <cfRule type="cellIs" dxfId="2" priority="5" operator="equal">
      <formula>$K$4</formula>
    </cfRule>
  </conditionalFormatting>
  <conditionalFormatting sqref="L2:L21">
    <cfRule type="cellIs" dxfId="1" priority="2" operator="equal">
      <formula>$L$4</formula>
    </cfRule>
    <cfRule type="cellIs" dxfId="0" priority="3" operator="equal">
      <formula>$L$2</formula>
    </cfRule>
  </conditionalFormatting>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iconSet" priority="6" id="{9DD0D690-8E4F-4519-BC5E-670F5EBB4A86}">
            <x14:iconSet iconSet="3Stars">
              <x14:cfvo type="percent">
                <xm:f>0</xm:f>
              </x14:cfvo>
              <x14:cfvo type="num">
                <xm:f>3</xm:f>
              </x14:cfvo>
              <x14:cfvo type="num">
                <xm:f>5</xm:f>
              </x14:cfvo>
            </x14:iconSet>
          </x14:cfRule>
          <xm:sqref>M2:M21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C549C-67A0-48A0-BA4A-925E9CBC0A25}">
  <dimension ref="A2:B72"/>
  <sheetViews>
    <sheetView topLeftCell="A39" workbookViewId="0">
      <selection activeCell="A59" sqref="A59:B72"/>
    </sheetView>
  </sheetViews>
  <sheetFormatPr defaultRowHeight="14.4" x14ac:dyDescent="0.3"/>
  <cols>
    <col min="1" max="1" width="12.44140625" bestFit="1" customWidth="1"/>
    <col min="2" max="2" width="15.5546875" bestFit="1" customWidth="1"/>
  </cols>
  <sheetData>
    <row r="2" spans="1:2" x14ac:dyDescent="0.3">
      <c r="A2" s="3" t="s">
        <v>0</v>
      </c>
      <c r="B2" t="s">
        <v>67</v>
      </c>
    </row>
    <row r="3" spans="1:2" x14ac:dyDescent="0.3">
      <c r="A3" s="4" t="s">
        <v>55</v>
      </c>
      <c r="B3" s="9">
        <v>13</v>
      </c>
    </row>
    <row r="4" spans="1:2" x14ac:dyDescent="0.3">
      <c r="A4" s="4" t="s">
        <v>9</v>
      </c>
      <c r="B4" s="9">
        <v>7</v>
      </c>
    </row>
    <row r="5" spans="1:2" x14ac:dyDescent="0.3">
      <c r="A5" s="4" t="s">
        <v>1</v>
      </c>
      <c r="B5" s="9">
        <v>20</v>
      </c>
    </row>
    <row r="7" spans="1:2" x14ac:dyDescent="0.3">
      <c r="A7" s="3" t="s">
        <v>0</v>
      </c>
      <c r="B7" t="s">
        <v>63</v>
      </c>
    </row>
    <row r="8" spans="1:2" x14ac:dyDescent="0.3">
      <c r="A8" s="4" t="s">
        <v>56</v>
      </c>
      <c r="B8" s="9">
        <v>13</v>
      </c>
    </row>
    <row r="9" spans="1:2" x14ac:dyDescent="0.3">
      <c r="A9" s="4" t="s">
        <v>57</v>
      </c>
      <c r="B9" s="9">
        <v>7</v>
      </c>
    </row>
    <row r="10" spans="1:2" x14ac:dyDescent="0.3">
      <c r="A10" s="4" t="s">
        <v>1</v>
      </c>
      <c r="B10" s="9">
        <v>20</v>
      </c>
    </row>
    <row r="12" spans="1:2" x14ac:dyDescent="0.3">
      <c r="A12" s="3" t="s">
        <v>0</v>
      </c>
      <c r="B12" t="s">
        <v>64</v>
      </c>
    </row>
    <row r="13" spans="1:2" x14ac:dyDescent="0.3">
      <c r="A13" s="4" t="s">
        <v>29</v>
      </c>
      <c r="B13" s="9">
        <v>5</v>
      </c>
    </row>
    <row r="14" spans="1:2" x14ac:dyDescent="0.3">
      <c r="A14" s="4" t="s">
        <v>28</v>
      </c>
      <c r="B14" s="9">
        <v>10</v>
      </c>
    </row>
    <row r="15" spans="1:2" x14ac:dyDescent="0.3">
      <c r="A15" s="4" t="s">
        <v>30</v>
      </c>
      <c r="B15" s="9">
        <v>5</v>
      </c>
    </row>
    <row r="16" spans="1:2" x14ac:dyDescent="0.3">
      <c r="A16" s="4" t="s">
        <v>1</v>
      </c>
      <c r="B16" s="9">
        <v>20</v>
      </c>
    </row>
    <row r="18" spans="1:2" x14ac:dyDescent="0.3">
      <c r="A18" s="3" t="s">
        <v>0</v>
      </c>
      <c r="B18" t="s">
        <v>65</v>
      </c>
    </row>
    <row r="19" spans="1:2" x14ac:dyDescent="0.3">
      <c r="A19" s="4" t="s">
        <v>19</v>
      </c>
      <c r="B19" s="9">
        <v>8</v>
      </c>
    </row>
    <row r="20" spans="1:2" x14ac:dyDescent="0.3">
      <c r="A20" s="4" t="s">
        <v>10</v>
      </c>
      <c r="B20" s="9">
        <v>9</v>
      </c>
    </row>
    <row r="21" spans="1:2" x14ac:dyDescent="0.3">
      <c r="A21" s="4" t="s">
        <v>21</v>
      </c>
      <c r="B21" s="9">
        <v>1</v>
      </c>
    </row>
    <row r="22" spans="1:2" x14ac:dyDescent="0.3">
      <c r="A22" s="4" t="s">
        <v>14</v>
      </c>
      <c r="B22" s="9">
        <v>7</v>
      </c>
    </row>
    <row r="23" spans="1:2" x14ac:dyDescent="0.3">
      <c r="A23" s="4" t="s">
        <v>7</v>
      </c>
      <c r="B23" s="9">
        <v>10</v>
      </c>
    </row>
    <row r="24" spans="1:2" x14ac:dyDescent="0.3">
      <c r="A24" s="4" t="s">
        <v>16</v>
      </c>
      <c r="B24" s="9">
        <v>10</v>
      </c>
    </row>
    <row r="25" spans="1:2" x14ac:dyDescent="0.3">
      <c r="A25" s="4" t="s">
        <v>13</v>
      </c>
      <c r="B25" s="9">
        <v>5</v>
      </c>
    </row>
    <row r="26" spans="1:2" x14ac:dyDescent="0.3">
      <c r="A26" s="4" t="s">
        <v>12</v>
      </c>
      <c r="B26" s="9">
        <v>9</v>
      </c>
    </row>
    <row r="27" spans="1:2" x14ac:dyDescent="0.3">
      <c r="A27" s="4" t="s">
        <v>11</v>
      </c>
      <c r="B27" s="9">
        <v>4</v>
      </c>
    </row>
    <row r="28" spans="1:2" x14ac:dyDescent="0.3">
      <c r="A28" s="4" t="s">
        <v>8</v>
      </c>
      <c r="B28" s="9">
        <v>8</v>
      </c>
    </row>
    <row r="29" spans="1:2" x14ac:dyDescent="0.3">
      <c r="A29" s="4" t="s">
        <v>18</v>
      </c>
      <c r="B29" s="9">
        <v>9</v>
      </c>
    </row>
    <row r="30" spans="1:2" x14ac:dyDescent="0.3">
      <c r="A30" s="4" t="s">
        <v>1</v>
      </c>
      <c r="B30" s="9">
        <v>80</v>
      </c>
    </row>
    <row r="32" spans="1:2" x14ac:dyDescent="0.3">
      <c r="A32" s="3" t="s">
        <v>0</v>
      </c>
      <c r="B32" t="s">
        <v>66</v>
      </c>
    </row>
    <row r="33" spans="1:2" x14ac:dyDescent="0.3">
      <c r="A33" s="4" t="s">
        <v>19</v>
      </c>
      <c r="B33" s="9">
        <v>2</v>
      </c>
    </row>
    <row r="34" spans="1:2" x14ac:dyDescent="0.3">
      <c r="A34" s="4" t="s">
        <v>10</v>
      </c>
      <c r="B34" s="9">
        <v>2</v>
      </c>
    </row>
    <row r="35" spans="1:2" x14ac:dyDescent="0.3">
      <c r="A35" s="4" t="s">
        <v>21</v>
      </c>
      <c r="B35" s="9">
        <v>1</v>
      </c>
    </row>
    <row r="36" spans="1:2" x14ac:dyDescent="0.3">
      <c r="A36" s="4" t="s">
        <v>14</v>
      </c>
      <c r="B36" s="9">
        <v>2</v>
      </c>
    </row>
    <row r="37" spans="1:2" x14ac:dyDescent="0.3">
      <c r="A37" s="4" t="s">
        <v>7</v>
      </c>
      <c r="B37" s="9">
        <v>2</v>
      </c>
    </row>
    <row r="38" spans="1:2" x14ac:dyDescent="0.3">
      <c r="A38" s="4" t="s">
        <v>16</v>
      </c>
      <c r="B38" s="9">
        <v>3</v>
      </c>
    </row>
    <row r="39" spans="1:2" x14ac:dyDescent="0.3">
      <c r="A39" s="4" t="s">
        <v>13</v>
      </c>
      <c r="B39" s="9">
        <v>1</v>
      </c>
    </row>
    <row r="40" spans="1:2" x14ac:dyDescent="0.3">
      <c r="A40" s="4" t="s">
        <v>12</v>
      </c>
      <c r="B40" s="9">
        <v>2</v>
      </c>
    </row>
    <row r="41" spans="1:2" x14ac:dyDescent="0.3">
      <c r="A41" s="4" t="s">
        <v>11</v>
      </c>
      <c r="B41" s="9">
        <v>1</v>
      </c>
    </row>
    <row r="42" spans="1:2" x14ac:dyDescent="0.3">
      <c r="A42" s="4" t="s">
        <v>8</v>
      </c>
      <c r="B42" s="9">
        <v>2</v>
      </c>
    </row>
    <row r="43" spans="1:2" x14ac:dyDescent="0.3">
      <c r="A43" s="4" t="s">
        <v>18</v>
      </c>
      <c r="B43" s="9">
        <v>2</v>
      </c>
    </row>
    <row r="44" spans="1:2" x14ac:dyDescent="0.3">
      <c r="A44" s="4" t="s">
        <v>1</v>
      </c>
      <c r="B44" s="9">
        <v>20</v>
      </c>
    </row>
    <row r="59" spans="1:2" x14ac:dyDescent="0.3">
      <c r="A59" s="3" t="s">
        <v>0</v>
      </c>
      <c r="B59" t="s">
        <v>66</v>
      </c>
    </row>
    <row r="60" spans="1:2" x14ac:dyDescent="0.3">
      <c r="A60" s="4" t="s">
        <v>19</v>
      </c>
      <c r="B60" s="9">
        <v>2</v>
      </c>
    </row>
    <row r="61" spans="1:2" x14ac:dyDescent="0.3">
      <c r="A61" s="4" t="s">
        <v>10</v>
      </c>
      <c r="B61" s="9">
        <v>2</v>
      </c>
    </row>
    <row r="62" spans="1:2" x14ac:dyDescent="0.3">
      <c r="A62" s="4" t="s">
        <v>21</v>
      </c>
      <c r="B62" s="9">
        <v>1</v>
      </c>
    </row>
    <row r="63" spans="1:2" x14ac:dyDescent="0.3">
      <c r="A63" s="4" t="s">
        <v>14</v>
      </c>
      <c r="B63" s="9">
        <v>2</v>
      </c>
    </row>
    <row r="64" spans="1:2" x14ac:dyDescent="0.3">
      <c r="A64" s="4" t="s">
        <v>7</v>
      </c>
      <c r="B64" s="9">
        <v>2</v>
      </c>
    </row>
    <row r="65" spans="1:2" x14ac:dyDescent="0.3">
      <c r="A65" s="4" t="s">
        <v>16</v>
      </c>
      <c r="B65" s="9">
        <v>3</v>
      </c>
    </row>
    <row r="66" spans="1:2" x14ac:dyDescent="0.3">
      <c r="A66" s="4" t="s">
        <v>13</v>
      </c>
      <c r="B66" s="9">
        <v>1</v>
      </c>
    </row>
    <row r="67" spans="1:2" x14ac:dyDescent="0.3">
      <c r="A67" s="4" t="s">
        <v>12</v>
      </c>
      <c r="B67" s="9">
        <v>2</v>
      </c>
    </row>
    <row r="68" spans="1:2" x14ac:dyDescent="0.3">
      <c r="A68" s="4" t="s">
        <v>11</v>
      </c>
      <c r="B68" s="9">
        <v>1</v>
      </c>
    </row>
    <row r="69" spans="1:2" x14ac:dyDescent="0.3">
      <c r="A69" s="4" t="s">
        <v>8</v>
      </c>
      <c r="B69" s="9">
        <v>2</v>
      </c>
    </row>
    <row r="70" spans="1:2" x14ac:dyDescent="0.3">
      <c r="A70" s="4" t="s">
        <v>18</v>
      </c>
      <c r="B70" s="9">
        <v>2</v>
      </c>
    </row>
    <row r="71" spans="1:2" x14ac:dyDescent="0.3">
      <c r="A71" s="4" t="s">
        <v>68</v>
      </c>
      <c r="B71" s="9"/>
    </row>
    <row r="72" spans="1:2" x14ac:dyDescent="0.3">
      <c r="A72" s="4" t="s">
        <v>1</v>
      </c>
      <c r="B72" s="9">
        <v>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AEE2A-1202-401B-AD78-D806144963E3}">
  <dimension ref="A1"/>
  <sheetViews>
    <sheetView showGridLines="0" tabSelected="1" topLeftCell="C16" zoomScale="73" workbookViewId="0">
      <selection activeCell="AE21" sqref="AE2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 Sheet</vt:lpstr>
      <vt:lpstr>Sheet2</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 Iyer</dc:creator>
  <cp:lastModifiedBy>Divya Iyer</cp:lastModifiedBy>
  <dcterms:created xsi:type="dcterms:W3CDTF">2026-02-05T16:17:15Z</dcterms:created>
  <dcterms:modified xsi:type="dcterms:W3CDTF">2026-05-18T15:25:41Z</dcterms:modified>
</cp:coreProperties>
</file>